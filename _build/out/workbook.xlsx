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원소 기호" sheetId="2" state="visible" r:id="rId2"/>
    <sheet xmlns:r="http://schemas.openxmlformats.org/officeDocument/2006/relationships" name="분자식" sheetId="3" state="visible" r:id="rId3"/>
    <sheet xmlns:r="http://schemas.openxmlformats.org/officeDocument/2006/relationships" name="양이온" sheetId="4" state="visible" r:id="rId4"/>
    <sheet xmlns:r="http://schemas.openxmlformats.org/officeDocument/2006/relationships" name="음이온" sheetId="5" state="visible" r:id="rId5"/>
    <sheet xmlns:r="http://schemas.openxmlformats.org/officeDocument/2006/relationships" name="이온 이름 규칙" sheetId="6" state="visible" r:id="rId6"/>
    <sheet xmlns:r="http://schemas.openxmlformats.org/officeDocument/2006/relationships" name="이온 결합 화합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32">
    <font>
      <name val="Calibri"/>
      <family val="2"/>
      <color theme="1"/>
      <sz val="11"/>
      <scheme val="minor"/>
    </font>
    <font>
      <name val="맑은 고딕"/>
      <b val="1"/>
      <color rgb="001F3A5F"/>
      <sz val="17"/>
    </font>
    <font>
      <name val="맑은 고딕"/>
      <color rgb="006B7684"/>
      <sz val="10"/>
    </font>
    <font>
      <name val="맑은 고딕"/>
      <b val="1"/>
      <color rgb="00FFFFFF"/>
      <sz val="10"/>
    </font>
    <font>
      <name val="맑은 고딕"/>
      <color rgb="001A2433"/>
      <sz val="11"/>
    </font>
    <font>
      <name val="맑은 고딕"/>
      <b val="1"/>
      <color rgb="001F3A5F"/>
      <sz val="12"/>
    </font>
    <font>
      <name val="맑은 고딕"/>
      <b val="1"/>
      <color rgb="000F6FB8"/>
      <sz val="10"/>
    </font>
    <font>
      <name val="맑은 고딕"/>
      <color rgb="001A2433"/>
      <sz val="10"/>
    </font>
    <font>
      <name val="맑은 고딕"/>
      <color rgb="008A6D1F"/>
      <sz val="9"/>
    </font>
    <font>
      <name val="맑은 고딕"/>
      <b val="1"/>
      <color rgb="006B7684"/>
      <sz val="10"/>
    </font>
    <font>
      <name val="맑은 고딕"/>
      <color rgb="006B7684"/>
      <sz val="9"/>
    </font>
    <font>
      <name val="맑은 고딕"/>
      <b val="1"/>
      <color rgb="001F7A68"/>
      <sz val="12"/>
    </font>
    <font>
      <name val="맑은 고딕"/>
      <color rgb="001F7A68"/>
      <sz val="11"/>
    </font>
    <font>
      <name val="맑은 고딕"/>
      <b val="1"/>
      <color rgb="001F7A68"/>
      <sz val="10"/>
    </font>
    <font>
      <name val="맑은 고딕"/>
      <color rgb="001F3A5F"/>
      <sz val="11"/>
    </font>
    <font>
      <name val="맑은 고딕"/>
      <b val="1"/>
      <color rgb="001F3A5F"/>
      <sz val="10"/>
    </font>
    <font>
      <name val="맑은 고딕"/>
      <color rgb="000F6FB8"/>
      <sz val="11"/>
    </font>
    <font>
      <name val="맑은 고딕"/>
      <b val="1"/>
      <color rgb="000F6FB8"/>
      <sz val="12"/>
    </font>
    <font>
      <name val="맑은 고딕"/>
      <b val="1"/>
      <color rgb="001A2433"/>
      <sz val="10"/>
    </font>
    <font>
      <name val="맑은 고딕"/>
      <b val="1"/>
      <color rgb="000F6FB8"/>
      <sz val="11"/>
    </font>
    <font>
      <name val="맑은 고딕"/>
      <b val="1"/>
      <color rgb="007A3FB0"/>
      <sz val="10"/>
    </font>
    <font>
      <name val="맑은 고딕"/>
      <color rgb="00C4404B"/>
      <sz val="11"/>
    </font>
    <font>
      <name val="맑은 고딕"/>
      <b val="1"/>
      <color rgb="00C4404B"/>
      <sz val="12"/>
    </font>
    <font>
      <name val="맑은 고딕"/>
      <b val="1"/>
      <color rgb="00C4404B"/>
      <sz val="11"/>
    </font>
    <font>
      <name val="맑은 고딕"/>
      <b val="1"/>
      <color rgb="001F7A68"/>
      <sz val="11"/>
    </font>
    <font>
      <name val="맑은 고딕"/>
      <b val="1"/>
      <color rgb="001F7A68"/>
      <sz val="13"/>
    </font>
    <font>
      <name val="맑은 고딕"/>
      <b val="1"/>
      <color rgb="00B7791F"/>
      <sz val="11"/>
    </font>
    <font>
      <name val="맑은 고딕"/>
      <b val="1"/>
      <color rgb="00B7791F"/>
      <sz val="13"/>
    </font>
    <font>
      <name val="맑은 고딕"/>
      <b val="1"/>
      <color rgb="001F3A5F"/>
      <sz val="20"/>
    </font>
    <font>
      <name val="맑은 고딕"/>
      <color rgb="006B7684"/>
      <sz val="11"/>
    </font>
    <font>
      <name val="맑은 고딕"/>
      <b val="1"/>
      <color rgb="001F3A5F"/>
      <sz val="13"/>
    </font>
    <font>
      <name val="맑은 고딕"/>
      <b val="1"/>
      <color rgb="001F3A5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  <fill>
      <patternFill patternType="solid">
        <fgColor rgb="00F3F6FA"/>
      </patternFill>
    </fill>
    <fill>
      <patternFill patternType="solid">
        <fgColor rgb="00FFFFFF"/>
      </patternFill>
    </fill>
    <fill>
      <patternFill patternType="solid">
        <fgColor rgb="00F3EBFB"/>
      </patternFill>
    </fill>
  </fills>
  <borders count="6">
    <border>
      <left/>
      <right/>
      <top/>
      <bottom/>
      <diagonal/>
    </border>
    <border>
      <left style="thin">
        <color rgb="00D8E0EA"/>
      </left>
      <right style="thin">
        <color rgb="00D8E0EA"/>
      </right>
      <top style="thin">
        <color rgb="00D8E0EA"/>
      </top>
      <bottom style="thin">
        <color rgb="00D8E0EA"/>
      </bottom>
    </border>
    <border>
      <left/>
      <right/>
      <top style="thin">
        <color rgb="00D8E0EA"/>
      </top>
      <bottom/>
      <diagonal/>
    </border>
    <border>
      <left/>
      <right style="thin">
        <color rgb="00D8E0EA"/>
      </right>
      <top style="thin">
        <color rgb="00D8E0EA"/>
      </top>
      <bottom/>
      <diagonal/>
    </border>
    <border>
      <left/>
      <right/>
      <top style="thin">
        <color rgb="00D8E0EA"/>
      </top>
      <bottom style="thin">
        <color rgb="00D8E0EA"/>
      </bottom>
      <diagonal/>
    </border>
    <border>
      <left/>
      <right style="thin">
        <color rgb="00D8E0EA"/>
      </right>
      <top style="thin">
        <color rgb="00D8E0EA"/>
      </top>
      <bottom style="thin">
        <color rgb="00D8E0EA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6" fillId="0" borderId="0" pivotButton="0" quotePrefix="0" xfId="0"/>
    <xf numFmtId="0" fontId="3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164" fontId="1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4" fontId="19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 indent="1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164" fontId="1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 inden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164" fontId="1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 inden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164" fontId="23" fillId="3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164" fontId="23" fillId="6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164" fontId="23" fillId="5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14" fillId="4" borderId="1" applyAlignment="1" pivotButton="0" quotePrefix="0" xfId="0">
      <alignment horizontal="left" vertical="center" wrapText="1" indent="1"/>
    </xf>
    <xf numFmtId="0" fontId="21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14" fillId="5" borderId="1" applyAlignment="1" pivotButton="0" quotePrefix="0" xfId="0">
      <alignment horizontal="left" vertical="center" wrapText="1" indent="1"/>
    </xf>
    <xf numFmtId="0" fontId="21" fillId="5" borderId="1" applyAlignment="1" pivotButton="0" quotePrefix="0" xfId="0">
      <alignment horizontal="left" vertical="center" wrapText="1" indent="1"/>
    </xf>
    <xf numFmtId="0" fontId="24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18" customWidth="1" min="2" max="2"/>
    <col width="14" customWidth="1" min="3" max="3"/>
    <col width="62" customWidth="1" min="4" max="4"/>
    <col width="12" customWidth="1" min="5" max="5"/>
  </cols>
  <sheetData>
    <row r="1" ht="10" customHeight="1"/>
    <row r="2" ht="36" customHeight="1">
      <c r="B2" s="1" t="inlineStr">
        <is>
          <t>2022 개정 교육과정 중학교 과학 · 꼭 알아둘 화학 기호와 화학식</t>
        </is>
      </c>
    </row>
    <row r="3">
      <c r="B3" s="2" t="inlineStr">
        <is>
          <t>교과서에 나오는 원소 기호 · 분자식 · 이온식과 이온 결합 화합물의 화학식을 한 파일로 정리했습니다.</t>
        </is>
      </c>
    </row>
    <row r="5">
      <c r="B5" s="3" t="inlineStr">
        <is>
          <t>송쌤과학  |  아주중학교  |  YouTube · Instagram @songsamscience</t>
        </is>
      </c>
    </row>
    <row r="7">
      <c r="B7" s="4" t="inlineStr">
        <is>
          <t>시트 구성</t>
        </is>
      </c>
    </row>
    <row r="8" ht="24" customHeight="1">
      <c r="B8" s="5" t="inlineStr">
        <is>
          <t>시트</t>
        </is>
      </c>
      <c r="C8" s="5" t="inlineStr">
        <is>
          <t>핵심 / 전체</t>
        </is>
      </c>
      <c r="D8" s="5" t="inlineStr">
        <is>
          <t>내용</t>
        </is>
      </c>
      <c r="E8" s="5" t="inlineStr">
        <is>
          <t>바로가기</t>
        </is>
      </c>
    </row>
    <row r="9" ht="22" customHeight="1">
      <c r="B9" s="6" t="inlineStr">
        <is>
          <t>원소 기호</t>
        </is>
      </c>
      <c r="C9" s="7" t="inlineStr">
        <is>
          <t>30 / 41종</t>
        </is>
      </c>
      <c r="D9" s="8" t="inlineStr">
        <is>
          <t>원자 번호 · 원소 이름 · 원소 기호 · 학습지 수록 여부</t>
        </is>
      </c>
      <c r="E9" s="9" t="inlineStr">
        <is>
          <t>이동 →</t>
        </is>
      </c>
    </row>
    <row r="10" ht="22" customHeight="1">
      <c r="B10" s="10" t="inlineStr">
        <is>
          <t>분자식</t>
        </is>
      </c>
      <c r="C10" s="11" t="inlineStr">
        <is>
          <t>11 / 14종</t>
        </is>
      </c>
      <c r="D10" s="12" t="inlineStr">
        <is>
          <t>물질을 나타내는 분자식 · 원소(초록)와 화합물(남색) 구분</t>
        </is>
      </c>
      <c r="E10" s="13" t="inlineStr">
        <is>
          <t>이동 →</t>
        </is>
      </c>
    </row>
    <row r="11" ht="22" customHeight="1">
      <c r="B11" s="6" t="inlineStr">
        <is>
          <t>양이온</t>
        </is>
      </c>
      <c r="C11" s="7" t="inlineStr">
        <is>
          <t>9 / 15종</t>
        </is>
      </c>
      <c r="D11" s="8" t="inlineStr">
        <is>
          <t>전자를 잃어 (+)전하를 띤 이온 · 전자 수 자동 계산</t>
        </is>
      </c>
      <c r="E11" s="9" t="inlineStr">
        <is>
          <t>이동 →</t>
        </is>
      </c>
    </row>
    <row r="12" ht="22" customHeight="1">
      <c r="B12" s="10" t="inlineStr">
        <is>
          <t>음이온</t>
        </is>
      </c>
      <c r="C12" s="11" t="inlineStr">
        <is>
          <t>9 / 11종</t>
        </is>
      </c>
      <c r="D12" s="12" t="inlineStr">
        <is>
          <t>전자를 얻어 (−)전하를 띤 이온 · 다원자 이온은 연보라색 행</t>
        </is>
      </c>
      <c r="E12" s="13" t="inlineStr">
        <is>
          <t>이동 →</t>
        </is>
      </c>
    </row>
    <row r="13" ht="22" customHeight="1">
      <c r="B13" s="6" t="inlineStr">
        <is>
          <t>이온 이름 규칙</t>
        </is>
      </c>
      <c r="C13" s="7" t="inlineStr">
        <is>
          <t>8개</t>
        </is>
      </c>
      <c r="D13" s="8" t="inlineStr">
        <is>
          <t>이온 이름을 붙이는 규칙과 예시 · 잘못된 표기 (155쪽 기준)</t>
        </is>
      </c>
      <c r="E13" s="9" t="inlineStr">
        <is>
          <t>이동 →</t>
        </is>
      </c>
    </row>
    <row r="14" ht="22" customHeight="1">
      <c r="B14" s="10" t="inlineStr">
        <is>
          <t>이온 결합 화합물</t>
        </is>
      </c>
      <c r="C14" s="11" t="inlineStr">
        <is>
          <t>11종</t>
        </is>
      </c>
      <c r="D14" s="12" t="inlineStr">
        <is>
          <t>구성 이온 · 최소 정수비 · 전하 합 · 화학식 (개수비 1 : 1은 초록, 다르면 주황)</t>
        </is>
      </c>
      <c r="E14" s="13" t="inlineStr">
        <is>
          <t>이동 →</t>
        </is>
      </c>
    </row>
    <row r="16">
      <c r="B16" s="4" t="inlineStr">
        <is>
          <t>표 보는 방법</t>
        </is>
      </c>
    </row>
    <row r="17" ht="22" customHeight="1">
      <c r="B17" s="5" t="inlineStr">
        <is>
          <t>항목</t>
        </is>
      </c>
      <c r="C17" s="5" t="inlineStr">
        <is>
          <t>설명</t>
        </is>
      </c>
      <c r="D17" s="14" t="n"/>
      <c r="E17" s="15" t="n"/>
    </row>
    <row r="18" ht="22" customHeight="1">
      <c r="B18" s="16" t="inlineStr">
        <is>
          <t>이온식</t>
        </is>
      </c>
      <c r="C18" s="12" t="inlineStr">
        <is>
          <t>위첨자 · 아래첨자를 그대로 살린 실제 표기입니다. 예) Cu²⁺, SO₄²⁻</t>
        </is>
      </c>
      <c r="D18" s="17" t="n"/>
      <c r="E18" s="17" t="n"/>
    </row>
    <row r="19" ht="22" customHeight="1">
      <c r="B19" s="18" t="inlineStr">
        <is>
          <t>입력용 표기</t>
        </is>
      </c>
      <c r="C19" s="8" t="inlineStr">
        <is>
          <t>컴퓨터로 입력할 때 쓰는 형태입니다. 학습 사이트는 이 형태로 쳐도 자동으로 첨자를 붙여 줍니다. 예) Cu2+ → Cu²⁺</t>
        </is>
      </c>
      <c r="D19" s="19" t="n"/>
      <c r="E19" s="19" t="n"/>
    </row>
    <row r="20" ht="22" customHeight="1">
      <c r="B20" s="16" t="inlineStr">
        <is>
          <t>전하</t>
        </is>
      </c>
      <c r="C20" s="12" t="inlineStr">
        <is>
          <t>잃은 전자 수만큼 (+), 얻은 전자 수만큼 (−). 양수는 양이온, 음수는 음이온입니다.</t>
        </is>
      </c>
      <c r="D20" s="17" t="n"/>
      <c r="E20" s="17" t="n"/>
    </row>
    <row r="21" ht="22" customHeight="1">
      <c r="B21" s="18" t="inlineStr">
        <is>
          <t>이온의 전자 수</t>
        </is>
      </c>
      <c r="C21" s="8" t="inlineStr">
        <is>
          <t>원자 번호(양성자 수)에서 전하를 뺀 값으로 계산식이 걸려 있습니다. 다원자 이온은 '-'로 표시합니다.</t>
        </is>
      </c>
      <c r="D21" s="19" t="n"/>
      <c r="E21" s="19" t="n"/>
    </row>
    <row r="22" ht="22" customHeight="1">
      <c r="B22" s="16" t="inlineStr">
        <is>
          <t>이동하는 극</t>
        </is>
      </c>
      <c r="C22" s="12" t="inlineStr">
        <is>
          <t>전류를 흘릴 때 이온이 이동하는 극으로, 전하 값에 따라 자동으로 계산됩니다.</t>
        </is>
      </c>
      <c r="D22" s="17" t="n"/>
      <c r="E22" s="17" t="n"/>
    </row>
    <row r="23" ht="22" customHeight="1">
      <c r="B23" s="18" t="inlineStr">
        <is>
          <t>학습 범위</t>
        </is>
      </c>
      <c r="C23" s="8" t="inlineStr">
        <is>
          <t>'핵심'은 학습 사이트의 기본 범위이자 4쪽 학습지에 실린 항목, '확장'은 수업에서 자주 쓰여 덧붙인 항목입니다.</t>
        </is>
      </c>
      <c r="D23" s="19" t="n"/>
      <c r="E23" s="19" t="n"/>
    </row>
    <row r="24" ht="22" customHeight="1">
      <c r="B24" s="16" t="inlineStr">
        <is>
          <t>교과서 확인</t>
        </is>
      </c>
      <c r="C24" s="12" t="inlineStr">
        <is>
          <t>Ⅳ. 물질의 구성 단원(134~165쪽)에서 실제로 나오는 쪽수를 적었습니다. '–'는 이 단원에 나오지 않는 항목입니다.</t>
        </is>
      </c>
      <c r="D24" s="17" t="n"/>
      <c r="E24" s="17" t="n"/>
    </row>
    <row r="25" ht="22" customHeight="1">
      <c r="B25" s="18" t="inlineStr">
        <is>
          <t>색 구분</t>
        </is>
      </c>
      <c r="C25" s="8" t="inlineStr">
        <is>
          <t>연노란색 행 = 학습 핵심 · 연보라색 행 = 다원자 이온 · 파란 글자 = 양이온, 빨간 글자 = 음이온 · 초록 = 원소·개수비 1 : 1, 주황 = 개수비 다름</t>
        </is>
      </c>
      <c r="D25" s="19" t="n"/>
      <c r="E25" s="19" t="n"/>
    </row>
    <row r="27" ht="18" customHeight="1">
      <c r="B27" s="20" t="inlineStr">
        <is>
          <t>※ 자료 출처: 2022 개정 중학교 과학 교과서 「Ⅳ. 물질의 구성」(134~165쪽) 본문 · 그림 · 표 전체.</t>
        </is>
      </c>
    </row>
    <row r="28" ht="18" customHeight="1">
      <c r="B28" s="20" t="inlineStr">
        <is>
          <t>※ 학습 사이트: 송쌤과학 '꼭 알아둘 화학 기호와 화학식' — 이 파일과 같은 자료로 문제를 냅니다.</t>
        </is>
      </c>
    </row>
    <row r="29" ht="18" customHeight="1">
      <c r="B29" s="20" t="inlineStr">
        <is>
          <t>※ '이온의 전자 수', '이동하는 극', '전하 합'은 수식이므로 값을 직접 지우지 마세요.</t>
        </is>
      </c>
    </row>
  </sheetData>
  <mergeCells count="15">
    <mergeCell ref="B27:E27"/>
    <mergeCell ref="C19:E19"/>
    <mergeCell ref="C23:E23"/>
    <mergeCell ref="C22:E22"/>
    <mergeCell ref="B28:E28"/>
    <mergeCell ref="C18:E18"/>
    <mergeCell ref="B29:E29"/>
    <mergeCell ref="C17:E17"/>
    <mergeCell ref="B3:E3"/>
    <mergeCell ref="B5:E5"/>
    <mergeCell ref="B2:E2"/>
    <mergeCell ref="C21:E21"/>
    <mergeCell ref="C20:E20"/>
    <mergeCell ref="C25:E25"/>
    <mergeCell ref="C24:E24"/>
  </mergeCells>
  <hyperlinks>
    <hyperlink ref="E9" location="'원소 기호'!A1" tooltip="원소 기호 시트로 이동" display="이동 →"/>
    <hyperlink ref="E10" location="'분자식'!A1" tooltip="분자식 시트로 이동" display="이동 →"/>
    <hyperlink ref="E11" location="'양이온'!A1" tooltip="양이온 시트로 이동" display="이동 →"/>
    <hyperlink ref="E12" location="'음이온'!A1" tooltip="음이온 시트로 이동" display="이동 →"/>
    <hyperlink ref="E13" location="'이온 이름 규칙'!A1" tooltip="이온 이름 규칙 시트로 이동" display="이동 →"/>
    <hyperlink ref="E14" location="'이온 결합 화합물'!A1" tooltip="이온 결합 화합물 시트로 이동" display="이동 →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A88"/>
    <outlinePr summaryBelow="1" summaryRight="1"/>
    <pageSetUpPr/>
  </sheetPr>
  <dimension ref="B2:G5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11" customWidth="1" min="2" max="2"/>
    <col width="22" customWidth="1" min="3" max="3"/>
    <col width="12" customWidth="1" min="4" max="4"/>
    <col width="11" customWidth="1" min="5" max="5"/>
    <col width="12" customWidth="1" min="6" max="6"/>
    <col width="20" customWidth="1" min="7" max="7"/>
  </cols>
  <sheetData>
    <row r="1" ht="8" customHeight="1"/>
    <row r="2" ht="30" customHeight="1">
      <c r="B2" s="21" t="inlineStr">
        <is>
          <t>원소 기호</t>
        </is>
      </c>
    </row>
    <row r="3" ht="18" customHeight="1">
      <c r="B3" s="22" t="inlineStr">
        <is>
          <t>원소 41종 중 학습 핵심 30종 (연노란색 · 학습지 4쪽에 수록) · 원자 번호 순</t>
        </is>
      </c>
    </row>
    <row r="4" ht="6" customHeight="1"/>
    <row r="5" ht="30" customHeight="1">
      <c r="B5" s="5" t="inlineStr">
        <is>
          <t>원자 번호</t>
        </is>
      </c>
      <c r="C5" s="5" t="inlineStr">
        <is>
          <t>원소 이름</t>
        </is>
      </c>
      <c r="D5" s="5" t="inlineStr">
        <is>
          <t>원소 기호</t>
        </is>
      </c>
      <c r="E5" s="5" t="inlineStr">
        <is>
          <t>학습 범위</t>
        </is>
      </c>
      <c r="F5" s="5" t="inlineStr">
        <is>
          <t>학습지 수록</t>
        </is>
      </c>
      <c r="G5" s="5" t="inlineStr">
        <is>
          <t>교과서 확인</t>
        </is>
      </c>
    </row>
    <row r="6" ht="20" customHeight="1">
      <c r="B6" s="23" t="n">
        <v>1</v>
      </c>
      <c r="C6" s="24" t="inlineStr">
        <is>
          <t>수소</t>
        </is>
      </c>
      <c r="D6" s="25" t="inlineStr">
        <is>
          <t>H</t>
        </is>
      </c>
      <c r="E6" s="26" t="inlineStr">
        <is>
          <t>핵심</t>
        </is>
      </c>
      <c r="F6" s="27" t="inlineStr">
        <is>
          <t>○</t>
        </is>
      </c>
      <c r="G6" s="28" t="inlineStr">
        <is>
          <t>140·145쪽</t>
        </is>
      </c>
    </row>
    <row r="7" ht="20" customHeight="1">
      <c r="B7" s="23" t="n">
        <v>2</v>
      </c>
      <c r="C7" s="24" t="inlineStr">
        <is>
          <t>헬륨</t>
        </is>
      </c>
      <c r="D7" s="25" t="inlineStr">
        <is>
          <t>He</t>
        </is>
      </c>
      <c r="E7" s="26" t="inlineStr">
        <is>
          <t>핵심</t>
        </is>
      </c>
      <c r="F7" s="27" t="inlineStr">
        <is>
          <t>○</t>
        </is>
      </c>
      <c r="G7" s="28" t="inlineStr">
        <is>
          <t>140·145쪽</t>
        </is>
      </c>
    </row>
    <row r="8" ht="20" customHeight="1">
      <c r="B8" s="23" t="n">
        <v>3</v>
      </c>
      <c r="C8" s="24" t="inlineStr">
        <is>
          <t>리튬</t>
        </is>
      </c>
      <c r="D8" s="25" t="inlineStr">
        <is>
          <t>Li</t>
        </is>
      </c>
      <c r="E8" s="26" t="inlineStr">
        <is>
          <t>핵심</t>
        </is>
      </c>
      <c r="F8" s="27" t="inlineStr">
        <is>
          <t>○</t>
        </is>
      </c>
      <c r="G8" s="28" t="inlineStr">
        <is>
          <t>140·145쪽</t>
        </is>
      </c>
    </row>
    <row r="9" ht="20" customHeight="1">
      <c r="B9" s="23" t="n">
        <v>4</v>
      </c>
      <c r="C9" s="24" t="inlineStr">
        <is>
          <t>베릴륨</t>
        </is>
      </c>
      <c r="D9" s="25" t="inlineStr">
        <is>
          <t>Be</t>
        </is>
      </c>
      <c r="E9" s="26" t="inlineStr">
        <is>
          <t>핵심</t>
        </is>
      </c>
      <c r="F9" s="27" t="inlineStr">
        <is>
          <t>○</t>
        </is>
      </c>
      <c r="G9" s="28" t="inlineStr">
        <is>
          <t>140·145쪽</t>
        </is>
      </c>
    </row>
    <row r="10" ht="20" customHeight="1">
      <c r="B10" s="23" t="n">
        <v>5</v>
      </c>
      <c r="C10" s="24" t="inlineStr">
        <is>
          <t>붕소</t>
        </is>
      </c>
      <c r="D10" s="25" t="inlineStr">
        <is>
          <t>B</t>
        </is>
      </c>
      <c r="E10" s="26" t="inlineStr">
        <is>
          <t>핵심</t>
        </is>
      </c>
      <c r="F10" s="27" t="inlineStr">
        <is>
          <t>○</t>
        </is>
      </c>
      <c r="G10" s="28" t="inlineStr">
        <is>
          <t>145쪽</t>
        </is>
      </c>
    </row>
    <row r="11" ht="20" customHeight="1">
      <c r="B11" s="23" t="n">
        <v>6</v>
      </c>
      <c r="C11" s="24" t="inlineStr">
        <is>
          <t>탄소</t>
        </is>
      </c>
      <c r="D11" s="25" t="inlineStr">
        <is>
          <t>C</t>
        </is>
      </c>
      <c r="E11" s="26" t="inlineStr">
        <is>
          <t>핵심</t>
        </is>
      </c>
      <c r="F11" s="27" t="inlineStr">
        <is>
          <t>○</t>
        </is>
      </c>
      <c r="G11" s="28" t="inlineStr">
        <is>
          <t>140·145쪽</t>
        </is>
      </c>
    </row>
    <row r="12" ht="20" customHeight="1">
      <c r="B12" s="23" t="n">
        <v>7</v>
      </c>
      <c r="C12" s="24" t="inlineStr">
        <is>
          <t>질소</t>
        </is>
      </c>
      <c r="D12" s="25" t="inlineStr">
        <is>
          <t>N</t>
        </is>
      </c>
      <c r="E12" s="26" t="inlineStr">
        <is>
          <t>핵심</t>
        </is>
      </c>
      <c r="F12" s="27" t="inlineStr">
        <is>
          <t>○</t>
        </is>
      </c>
      <c r="G12" s="28" t="inlineStr">
        <is>
          <t>145·160쪽</t>
        </is>
      </c>
    </row>
    <row r="13" ht="20" customHeight="1">
      <c r="B13" s="23" t="n">
        <v>8</v>
      </c>
      <c r="C13" s="24" t="inlineStr">
        <is>
          <t>산소</t>
        </is>
      </c>
      <c r="D13" s="25" t="inlineStr">
        <is>
          <t>O</t>
        </is>
      </c>
      <c r="E13" s="26" t="inlineStr">
        <is>
          <t>핵심</t>
        </is>
      </c>
      <c r="F13" s="27" t="inlineStr">
        <is>
          <t>○</t>
        </is>
      </c>
      <c r="G13" s="28" t="inlineStr">
        <is>
          <t>144·145쪽</t>
        </is>
      </c>
    </row>
    <row r="14" ht="20" customHeight="1">
      <c r="B14" s="23" t="n">
        <v>9</v>
      </c>
      <c r="C14" s="24" t="inlineStr">
        <is>
          <t>플루오린</t>
        </is>
      </c>
      <c r="D14" s="25" t="inlineStr">
        <is>
          <t>F</t>
        </is>
      </c>
      <c r="E14" s="26" t="inlineStr">
        <is>
          <t>핵심</t>
        </is>
      </c>
      <c r="F14" s="27" t="inlineStr">
        <is>
          <t>○</t>
        </is>
      </c>
      <c r="G14" s="28" t="inlineStr">
        <is>
          <t>145·154쪽</t>
        </is>
      </c>
    </row>
    <row r="15" ht="20" customHeight="1">
      <c r="B15" s="23" t="n">
        <v>10</v>
      </c>
      <c r="C15" s="24" t="inlineStr">
        <is>
          <t>네온</t>
        </is>
      </c>
      <c r="D15" s="25" t="inlineStr">
        <is>
          <t>Ne</t>
        </is>
      </c>
      <c r="E15" s="26" t="inlineStr">
        <is>
          <t>핵심</t>
        </is>
      </c>
      <c r="F15" s="27" t="inlineStr">
        <is>
          <t>○</t>
        </is>
      </c>
      <c r="G15" s="28" t="inlineStr">
        <is>
          <t>140·145쪽</t>
        </is>
      </c>
    </row>
    <row r="16" ht="20" customHeight="1">
      <c r="B16" s="23" t="n">
        <v>11</v>
      </c>
      <c r="C16" s="24" t="inlineStr">
        <is>
          <t>나트륨(소듐)</t>
        </is>
      </c>
      <c r="D16" s="25" t="inlineStr">
        <is>
          <t>Na</t>
        </is>
      </c>
      <c r="E16" s="26" t="inlineStr">
        <is>
          <t>핵심</t>
        </is>
      </c>
      <c r="F16" s="27" t="inlineStr">
        <is>
          <t>○</t>
        </is>
      </c>
      <c r="G16" s="28" t="inlineStr">
        <is>
          <t>140·145쪽</t>
        </is>
      </c>
    </row>
    <row r="17" ht="20" customHeight="1">
      <c r="B17" s="23" t="n">
        <v>12</v>
      </c>
      <c r="C17" s="24" t="inlineStr">
        <is>
          <t>마그네슘</t>
        </is>
      </c>
      <c r="D17" s="25" t="inlineStr">
        <is>
          <t>Mg</t>
        </is>
      </c>
      <c r="E17" s="26" t="inlineStr">
        <is>
          <t>핵심</t>
        </is>
      </c>
      <c r="F17" s="27" t="inlineStr">
        <is>
          <t>○</t>
        </is>
      </c>
      <c r="G17" s="28" t="inlineStr">
        <is>
          <t>140·145쪽</t>
        </is>
      </c>
    </row>
    <row r="18" ht="20" customHeight="1">
      <c r="B18" s="23" t="n">
        <v>13</v>
      </c>
      <c r="C18" s="24" t="inlineStr">
        <is>
          <t>알루미늄</t>
        </is>
      </c>
      <c r="D18" s="25" t="inlineStr">
        <is>
          <t>Al</t>
        </is>
      </c>
      <c r="E18" s="26" t="inlineStr">
        <is>
          <t>핵심</t>
        </is>
      </c>
      <c r="F18" s="27" t="inlineStr">
        <is>
          <t>○</t>
        </is>
      </c>
      <c r="G18" s="28" t="inlineStr">
        <is>
          <t>140·145쪽</t>
        </is>
      </c>
    </row>
    <row r="19" ht="20" customHeight="1">
      <c r="B19" s="23" t="n">
        <v>14</v>
      </c>
      <c r="C19" s="24" t="inlineStr">
        <is>
          <t>규소</t>
        </is>
      </c>
      <c r="D19" s="25" t="inlineStr">
        <is>
          <t>Si</t>
        </is>
      </c>
      <c r="E19" s="26" t="inlineStr">
        <is>
          <t>핵심</t>
        </is>
      </c>
      <c r="F19" s="27" t="inlineStr">
        <is>
          <t>○</t>
        </is>
      </c>
      <c r="G19" s="28" t="inlineStr">
        <is>
          <t>140·145쪽</t>
        </is>
      </c>
    </row>
    <row r="20" ht="20" customHeight="1">
      <c r="B20" s="23" t="n">
        <v>15</v>
      </c>
      <c r="C20" s="24" t="inlineStr">
        <is>
          <t>인</t>
        </is>
      </c>
      <c r="D20" s="25" t="inlineStr">
        <is>
          <t>P</t>
        </is>
      </c>
      <c r="E20" s="26" t="inlineStr">
        <is>
          <t>핵심</t>
        </is>
      </c>
      <c r="F20" s="27" t="inlineStr">
        <is>
          <t>○</t>
        </is>
      </c>
      <c r="G20" s="28" t="inlineStr">
        <is>
          <t>145쪽</t>
        </is>
      </c>
    </row>
    <row r="21" ht="20" customHeight="1">
      <c r="B21" s="23" t="n">
        <v>16</v>
      </c>
      <c r="C21" s="24" t="inlineStr">
        <is>
          <t>황</t>
        </is>
      </c>
      <c r="D21" s="25" t="inlineStr">
        <is>
          <t>S</t>
        </is>
      </c>
      <c r="E21" s="26" t="inlineStr">
        <is>
          <t>핵심</t>
        </is>
      </c>
      <c r="F21" s="27" t="inlineStr">
        <is>
          <t>○</t>
        </is>
      </c>
      <c r="G21" s="28" t="inlineStr">
        <is>
          <t>140·145쪽</t>
        </is>
      </c>
    </row>
    <row r="22" ht="20" customHeight="1">
      <c r="B22" s="23" t="n">
        <v>17</v>
      </c>
      <c r="C22" s="24" t="inlineStr">
        <is>
          <t>염소</t>
        </is>
      </c>
      <c r="D22" s="25" t="inlineStr">
        <is>
          <t>Cl</t>
        </is>
      </c>
      <c r="E22" s="26" t="inlineStr">
        <is>
          <t>핵심</t>
        </is>
      </c>
      <c r="F22" s="27" t="inlineStr">
        <is>
          <t>○</t>
        </is>
      </c>
      <c r="G22" s="28" t="inlineStr">
        <is>
          <t>140·145쪽</t>
        </is>
      </c>
    </row>
    <row r="23" ht="20" customHeight="1">
      <c r="B23" s="23" t="n">
        <v>18</v>
      </c>
      <c r="C23" s="24" t="inlineStr">
        <is>
          <t>아르곤</t>
        </is>
      </c>
      <c r="D23" s="25" t="inlineStr">
        <is>
          <t>Ar</t>
        </is>
      </c>
      <c r="E23" s="26" t="inlineStr">
        <is>
          <t>핵심</t>
        </is>
      </c>
      <c r="F23" s="27" t="inlineStr">
        <is>
          <t>○</t>
        </is>
      </c>
      <c r="G23" s="28" t="inlineStr">
        <is>
          <t>145·147쪽</t>
        </is>
      </c>
    </row>
    <row r="24" ht="20" customHeight="1">
      <c r="B24" s="23" t="n">
        <v>19</v>
      </c>
      <c r="C24" s="24" t="inlineStr">
        <is>
          <t>칼륨(포타슘)</t>
        </is>
      </c>
      <c r="D24" s="25" t="inlineStr">
        <is>
          <t>K</t>
        </is>
      </c>
      <c r="E24" s="26" t="inlineStr">
        <is>
          <t>핵심</t>
        </is>
      </c>
      <c r="F24" s="27" t="inlineStr">
        <is>
          <t>○</t>
        </is>
      </c>
      <c r="G24" s="28" t="inlineStr">
        <is>
          <t>145·157쪽</t>
        </is>
      </c>
    </row>
    <row r="25" ht="20" customHeight="1">
      <c r="B25" s="23" t="n">
        <v>20</v>
      </c>
      <c r="C25" s="24" t="inlineStr">
        <is>
          <t>칼슘</t>
        </is>
      </c>
      <c r="D25" s="25" t="inlineStr">
        <is>
          <t>Ca</t>
        </is>
      </c>
      <c r="E25" s="26" t="inlineStr">
        <is>
          <t>핵심</t>
        </is>
      </c>
      <c r="F25" s="27" t="inlineStr">
        <is>
          <t>○</t>
        </is>
      </c>
      <c r="G25" s="28" t="inlineStr">
        <is>
          <t>140·145쪽</t>
        </is>
      </c>
    </row>
    <row r="26" ht="20" customHeight="1">
      <c r="B26" s="29" t="n">
        <v>21</v>
      </c>
      <c r="C26" s="17" t="inlineStr">
        <is>
          <t>스칸듐</t>
        </is>
      </c>
      <c r="D26" s="30" t="inlineStr">
        <is>
          <t>Sc</t>
        </is>
      </c>
      <c r="E26" s="31" t="inlineStr">
        <is>
          <t>확장</t>
        </is>
      </c>
      <c r="F26" s="29" t="inlineStr">
        <is>
          <t>–</t>
        </is>
      </c>
      <c r="G26" s="32" t="inlineStr">
        <is>
          <t>–</t>
        </is>
      </c>
    </row>
    <row r="27" ht="20" customHeight="1">
      <c r="B27" s="33" t="n">
        <v>22</v>
      </c>
      <c r="C27" s="19" t="inlineStr">
        <is>
          <t>타이타늄</t>
        </is>
      </c>
      <c r="D27" s="34" t="inlineStr">
        <is>
          <t>Ti</t>
        </is>
      </c>
      <c r="E27" s="35" t="inlineStr">
        <is>
          <t>확장</t>
        </is>
      </c>
      <c r="F27" s="33" t="inlineStr">
        <is>
          <t>–</t>
        </is>
      </c>
      <c r="G27" s="36" t="inlineStr">
        <is>
          <t>–</t>
        </is>
      </c>
    </row>
    <row r="28" ht="20" customHeight="1">
      <c r="B28" s="29" t="n">
        <v>23</v>
      </c>
      <c r="C28" s="17" t="inlineStr">
        <is>
          <t>바나듐</t>
        </is>
      </c>
      <c r="D28" s="30" t="inlineStr">
        <is>
          <t>V</t>
        </is>
      </c>
      <c r="E28" s="31" t="inlineStr">
        <is>
          <t>확장</t>
        </is>
      </c>
      <c r="F28" s="29" t="inlineStr">
        <is>
          <t>–</t>
        </is>
      </c>
      <c r="G28" s="32" t="inlineStr">
        <is>
          <t>–</t>
        </is>
      </c>
    </row>
    <row r="29" ht="20" customHeight="1">
      <c r="B29" s="33" t="n">
        <v>24</v>
      </c>
      <c r="C29" s="19" t="inlineStr">
        <is>
          <t>크로뮴</t>
        </is>
      </c>
      <c r="D29" s="34" t="inlineStr">
        <is>
          <t>Cr</t>
        </is>
      </c>
      <c r="E29" s="35" t="inlineStr">
        <is>
          <t>확장</t>
        </is>
      </c>
      <c r="F29" s="33" t="inlineStr">
        <is>
          <t>–</t>
        </is>
      </c>
      <c r="G29" s="36" t="inlineStr">
        <is>
          <t>–</t>
        </is>
      </c>
    </row>
    <row r="30" ht="20" customHeight="1">
      <c r="B30" s="23" t="n">
        <v>25</v>
      </c>
      <c r="C30" s="24" t="inlineStr">
        <is>
          <t>망가니즈</t>
        </is>
      </c>
      <c r="D30" s="25" t="inlineStr">
        <is>
          <t>Mn</t>
        </is>
      </c>
      <c r="E30" s="26" t="inlineStr">
        <is>
          <t>핵심</t>
        </is>
      </c>
      <c r="F30" s="27" t="inlineStr">
        <is>
          <t>○</t>
        </is>
      </c>
      <c r="G30" s="37" t="inlineStr">
        <is>
          <t>–</t>
        </is>
      </c>
    </row>
    <row r="31" ht="20" customHeight="1">
      <c r="B31" s="23" t="n">
        <v>26</v>
      </c>
      <c r="C31" s="24" t="inlineStr">
        <is>
          <t>철</t>
        </is>
      </c>
      <c r="D31" s="25" t="inlineStr">
        <is>
          <t>Fe</t>
        </is>
      </c>
      <c r="E31" s="26" t="inlineStr">
        <is>
          <t>핵심</t>
        </is>
      </c>
      <c r="F31" s="27" t="inlineStr">
        <is>
          <t>○</t>
        </is>
      </c>
      <c r="G31" s="28" t="inlineStr">
        <is>
          <t>140쪽</t>
        </is>
      </c>
    </row>
    <row r="32" ht="20" customHeight="1">
      <c r="B32" s="29" t="n">
        <v>27</v>
      </c>
      <c r="C32" s="17" t="inlineStr">
        <is>
          <t>코발트</t>
        </is>
      </c>
      <c r="D32" s="30" t="inlineStr">
        <is>
          <t>Co</t>
        </is>
      </c>
      <c r="E32" s="31" t="inlineStr">
        <is>
          <t>확장</t>
        </is>
      </c>
      <c r="F32" s="29" t="inlineStr">
        <is>
          <t>–</t>
        </is>
      </c>
      <c r="G32" s="32" t="inlineStr">
        <is>
          <t>–</t>
        </is>
      </c>
    </row>
    <row r="33" ht="20" customHeight="1">
      <c r="B33" s="33" t="n">
        <v>28</v>
      </c>
      <c r="C33" s="19" t="inlineStr">
        <is>
          <t>니켈</t>
        </is>
      </c>
      <c r="D33" s="34" t="inlineStr">
        <is>
          <t>Ni</t>
        </is>
      </c>
      <c r="E33" s="35" t="inlineStr">
        <is>
          <t>확장</t>
        </is>
      </c>
      <c r="F33" s="33" t="inlineStr">
        <is>
          <t>–</t>
        </is>
      </c>
      <c r="G33" s="36" t="inlineStr">
        <is>
          <t>–</t>
        </is>
      </c>
    </row>
    <row r="34" ht="20" customHeight="1">
      <c r="B34" s="23" t="n">
        <v>29</v>
      </c>
      <c r="C34" s="24" t="inlineStr">
        <is>
          <t>구리</t>
        </is>
      </c>
      <c r="D34" s="25" t="inlineStr">
        <is>
          <t>Cu</t>
        </is>
      </c>
      <c r="E34" s="26" t="inlineStr">
        <is>
          <t>핵심</t>
        </is>
      </c>
      <c r="F34" s="27" t="inlineStr">
        <is>
          <t>○</t>
        </is>
      </c>
      <c r="G34" s="28" t="inlineStr">
        <is>
          <t>140·157쪽</t>
        </is>
      </c>
    </row>
    <row r="35" ht="20" customHeight="1">
      <c r="B35" s="23" t="n">
        <v>30</v>
      </c>
      <c r="C35" s="24" t="inlineStr">
        <is>
          <t>아연</t>
        </is>
      </c>
      <c r="D35" s="25" t="inlineStr">
        <is>
          <t>Zn</t>
        </is>
      </c>
      <c r="E35" s="26" t="inlineStr">
        <is>
          <t>핵심</t>
        </is>
      </c>
      <c r="F35" s="27" t="inlineStr">
        <is>
          <t>○</t>
        </is>
      </c>
      <c r="G35" s="37" t="inlineStr">
        <is>
          <t>–</t>
        </is>
      </c>
    </row>
    <row r="36" ht="20" customHeight="1">
      <c r="B36" s="23" t="n">
        <v>35</v>
      </c>
      <c r="C36" s="24" t="inlineStr">
        <is>
          <t>브로민</t>
        </is>
      </c>
      <c r="D36" s="25" t="inlineStr">
        <is>
          <t>Br</t>
        </is>
      </c>
      <c r="E36" s="26" t="inlineStr">
        <is>
          <t>핵심</t>
        </is>
      </c>
      <c r="F36" s="27" t="inlineStr">
        <is>
          <t>○</t>
        </is>
      </c>
      <c r="G36" s="37" t="inlineStr">
        <is>
          <t>–</t>
        </is>
      </c>
    </row>
    <row r="37" ht="20" customHeight="1">
      <c r="B37" s="33" t="n">
        <v>38</v>
      </c>
      <c r="C37" s="19" t="inlineStr">
        <is>
          <t>스트론튬</t>
        </is>
      </c>
      <c r="D37" s="34" t="inlineStr">
        <is>
          <t>Sr</t>
        </is>
      </c>
      <c r="E37" s="35" t="inlineStr">
        <is>
          <t>확장</t>
        </is>
      </c>
      <c r="F37" s="33" t="inlineStr">
        <is>
          <t>–</t>
        </is>
      </c>
      <c r="G37" s="36" t="inlineStr">
        <is>
          <t>–</t>
        </is>
      </c>
    </row>
    <row r="38" ht="20" customHeight="1">
      <c r="B38" s="23" t="n">
        <v>47</v>
      </c>
      <c r="C38" s="24" t="inlineStr">
        <is>
          <t>은</t>
        </is>
      </c>
      <c r="D38" s="25" t="inlineStr">
        <is>
          <t>Ag</t>
        </is>
      </c>
      <c r="E38" s="26" t="inlineStr">
        <is>
          <t>핵심</t>
        </is>
      </c>
      <c r="F38" s="27" t="inlineStr">
        <is>
          <t>○</t>
        </is>
      </c>
      <c r="G38" s="37" t="inlineStr">
        <is>
          <t>–</t>
        </is>
      </c>
    </row>
    <row r="39" ht="20" customHeight="1">
      <c r="B39" s="33" t="n">
        <v>48</v>
      </c>
      <c r="C39" s="19" t="inlineStr">
        <is>
          <t>카드뮴</t>
        </is>
      </c>
      <c r="D39" s="34" t="inlineStr">
        <is>
          <t>Cd</t>
        </is>
      </c>
      <c r="E39" s="35" t="inlineStr">
        <is>
          <t>확장</t>
        </is>
      </c>
      <c r="F39" s="33" t="inlineStr">
        <is>
          <t>–</t>
        </is>
      </c>
      <c r="G39" s="36" t="inlineStr">
        <is>
          <t>–</t>
        </is>
      </c>
    </row>
    <row r="40" ht="20" customHeight="1">
      <c r="B40" s="29" t="n">
        <v>50</v>
      </c>
      <c r="C40" s="17" t="inlineStr">
        <is>
          <t>주석</t>
        </is>
      </c>
      <c r="D40" s="30" t="inlineStr">
        <is>
          <t>Sn</t>
        </is>
      </c>
      <c r="E40" s="31" t="inlineStr">
        <is>
          <t>확장</t>
        </is>
      </c>
      <c r="F40" s="29" t="inlineStr">
        <is>
          <t>–</t>
        </is>
      </c>
      <c r="G40" s="32" t="inlineStr">
        <is>
          <t>–</t>
        </is>
      </c>
    </row>
    <row r="41" ht="20" customHeight="1">
      <c r="B41" s="23" t="n">
        <v>53</v>
      </c>
      <c r="C41" s="24" t="inlineStr">
        <is>
          <t>아이오딘</t>
        </is>
      </c>
      <c r="D41" s="25" t="inlineStr">
        <is>
          <t>I</t>
        </is>
      </c>
      <c r="E41" s="26" t="inlineStr">
        <is>
          <t>핵심</t>
        </is>
      </c>
      <c r="F41" s="27" t="inlineStr">
        <is>
          <t>○</t>
        </is>
      </c>
      <c r="G41" s="37" t="inlineStr">
        <is>
          <t>–</t>
        </is>
      </c>
    </row>
    <row r="42" ht="20" customHeight="1">
      <c r="B42" s="29" t="n">
        <v>56</v>
      </c>
      <c r="C42" s="17" t="inlineStr">
        <is>
          <t>바륨</t>
        </is>
      </c>
      <c r="D42" s="30" t="inlineStr">
        <is>
          <t>Ba</t>
        </is>
      </c>
      <c r="E42" s="31" t="inlineStr">
        <is>
          <t>확장</t>
        </is>
      </c>
      <c r="F42" s="29" t="inlineStr">
        <is>
          <t>–</t>
        </is>
      </c>
      <c r="G42" s="32" t="inlineStr">
        <is>
          <t>–</t>
        </is>
      </c>
    </row>
    <row r="43" ht="20" customHeight="1">
      <c r="B43" s="33" t="n">
        <v>78</v>
      </c>
      <c r="C43" s="19" t="inlineStr">
        <is>
          <t>백금</t>
        </is>
      </c>
      <c r="D43" s="34" t="inlineStr">
        <is>
          <t>Pt</t>
        </is>
      </c>
      <c r="E43" s="35" t="inlineStr">
        <is>
          <t>확장</t>
        </is>
      </c>
      <c r="F43" s="33" t="inlineStr">
        <is>
          <t>–</t>
        </is>
      </c>
      <c r="G43" s="36" t="inlineStr">
        <is>
          <t>–</t>
        </is>
      </c>
    </row>
    <row r="44" ht="20" customHeight="1">
      <c r="B44" s="23" t="n">
        <v>79</v>
      </c>
      <c r="C44" s="24" t="inlineStr">
        <is>
          <t>금</t>
        </is>
      </c>
      <c r="D44" s="25" t="inlineStr">
        <is>
          <t>Au</t>
        </is>
      </c>
      <c r="E44" s="26" t="inlineStr">
        <is>
          <t>핵심</t>
        </is>
      </c>
      <c r="F44" s="27" t="inlineStr">
        <is>
          <t>○</t>
        </is>
      </c>
      <c r="G44" s="37" t="inlineStr">
        <is>
          <t>–</t>
        </is>
      </c>
    </row>
    <row r="45" ht="20" customHeight="1">
      <c r="B45" s="23" t="n">
        <v>80</v>
      </c>
      <c r="C45" s="24" t="inlineStr">
        <is>
          <t>수은</t>
        </is>
      </c>
      <c r="D45" s="25" t="inlineStr">
        <is>
          <t>Hg</t>
        </is>
      </c>
      <c r="E45" s="26" t="inlineStr">
        <is>
          <t>핵심</t>
        </is>
      </c>
      <c r="F45" s="27" t="inlineStr">
        <is>
          <t>○</t>
        </is>
      </c>
      <c r="G45" s="28" t="inlineStr">
        <is>
          <t>140쪽</t>
        </is>
      </c>
    </row>
    <row r="46" ht="20" customHeight="1">
      <c r="B46" s="23" t="n">
        <v>82</v>
      </c>
      <c r="C46" s="24" t="inlineStr">
        <is>
          <t>납</t>
        </is>
      </c>
      <c r="D46" s="25" t="inlineStr">
        <is>
          <t>Pb</t>
        </is>
      </c>
      <c r="E46" s="26" t="inlineStr">
        <is>
          <t>핵심</t>
        </is>
      </c>
      <c r="F46" s="27" t="inlineStr">
        <is>
          <t>○</t>
        </is>
      </c>
      <c r="G46" s="37" t="inlineStr">
        <is>
          <t>–</t>
        </is>
      </c>
    </row>
    <row r="48" ht="18" customHeight="1">
      <c r="B48" s="20" t="inlineStr">
        <is>
          <t>※ 연노란색 = 학습 핵심 30종. 학습 사이트의 '교과서·학습 핵심만' 범위이자 4쪽 학습지에 실린 원소입니다.</t>
        </is>
      </c>
    </row>
    <row r="49" ht="18" customHeight="1">
      <c r="B49" s="20" t="inlineStr">
        <is>
          <t>※ 원자 번호 1~20번 외에 망가니즈(25)·철(26)·구리(29)·아연(30)·브로민(35)·은(47)·아이오딘(53)·금(79)·수은(80)·납(82)을 핵심에 넣었습니다.</t>
        </is>
      </c>
    </row>
    <row r="50" ht="18" customHeight="1">
      <c r="B50" s="20" t="inlineStr">
        <is>
          <t>※ 교과서 확인 쪽수는 Ⅳ. 물질의 구성 단원(134~165쪽) 기준입니다. 140쪽 = 그림 Ⅳ-2 원소 카드, 145쪽 = 그림 Ⅳ-8 주기율표. '–'는 이 단원에 기호로 나오지 않는 원소입니다.</t>
        </is>
      </c>
    </row>
    <row r="51" ht="18" customHeight="1">
      <c r="B51" s="20" t="inlineStr">
        <is>
          <t>※ 원소 기호는 첫 글자를 대문자로, 둘째 글자를 소문자로 씁니다. 괄호 안은 IUPAC 이름입니다. 예) 나트륨(소듐), 칼륨(포타슘)</t>
        </is>
      </c>
    </row>
  </sheetData>
  <mergeCells count="6">
    <mergeCell ref="B3:G3"/>
    <mergeCell ref="B2:G2"/>
    <mergeCell ref="B51:G51"/>
    <mergeCell ref="B49:G49"/>
    <mergeCell ref="B50:G50"/>
    <mergeCell ref="B48:G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7A68"/>
    <outlinePr summaryBelow="1" summaryRight="1"/>
    <pageSetUpPr/>
  </sheetPr>
  <dimension ref="B2:H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7" customWidth="1" min="2" max="2"/>
    <col width="14" customWidth="1" min="3" max="3"/>
    <col width="14" customWidth="1" min="4" max="4"/>
    <col width="18" customWidth="1" min="5" max="5"/>
    <col width="10" customWidth="1" min="6" max="6"/>
    <col width="11" customWidth="1" min="7" max="7"/>
    <col width="20" customWidth="1" min="8" max="8"/>
  </cols>
  <sheetData>
    <row r="1" ht="8" customHeight="1"/>
    <row r="2" ht="30" customHeight="1">
      <c r="B2" s="21" t="inlineStr">
        <is>
          <t>분자식</t>
        </is>
      </c>
    </row>
    <row r="3" ht="18" customHeight="1">
      <c r="B3" s="22" t="inlineStr">
        <is>
          <t>분자식 14종 중 교과서·학습 핵심 11종 (연노란색) · 초록 글자 = 원소, 남색 글자 = 화합물</t>
        </is>
      </c>
    </row>
    <row r="4" ht="6" customHeight="1"/>
    <row r="5" ht="30" customHeight="1">
      <c r="B5" s="5" t="inlineStr">
        <is>
          <t>번호</t>
        </is>
      </c>
      <c r="C5" s="5" t="inlineStr">
        <is>
          <t>분자식</t>
        </is>
      </c>
      <c r="D5" s="5" t="inlineStr">
        <is>
          <t>입력용 표기</t>
        </is>
      </c>
      <c r="E5" s="5" t="inlineStr">
        <is>
          <t>물질 이름</t>
        </is>
      </c>
      <c r="F5" s="5" t="inlineStr">
        <is>
          <t>구분</t>
        </is>
      </c>
      <c r="G5" s="5" t="inlineStr">
        <is>
          <t>학습 범위</t>
        </is>
      </c>
      <c r="H5" s="5" t="inlineStr">
        <is>
          <t>교과서 확인</t>
        </is>
      </c>
    </row>
    <row r="6" ht="20" customHeight="1">
      <c r="B6" s="23" t="n">
        <v>1</v>
      </c>
      <c r="C6" s="38" t="inlineStr">
        <is>
          <t>H₂</t>
        </is>
      </c>
      <c r="D6" s="23" t="inlineStr">
        <is>
          <t>H2</t>
        </is>
      </c>
      <c r="E6" s="39" t="inlineStr">
        <is>
          <t>수소</t>
        </is>
      </c>
      <c r="F6" s="40" t="inlineStr">
        <is>
          <t>원소</t>
        </is>
      </c>
      <c r="G6" s="26" t="inlineStr">
        <is>
          <t>핵심</t>
        </is>
      </c>
      <c r="H6" s="28" t="inlineStr">
        <is>
          <t>153·165쪽</t>
        </is>
      </c>
    </row>
    <row r="7" ht="20" customHeight="1">
      <c r="B7" s="23" t="n">
        <v>2</v>
      </c>
      <c r="C7" s="38" t="inlineStr">
        <is>
          <t>O₂</t>
        </is>
      </c>
      <c r="D7" s="23" t="inlineStr">
        <is>
          <t>O2</t>
        </is>
      </c>
      <c r="E7" s="39" t="inlineStr">
        <is>
          <t>산소</t>
        </is>
      </c>
      <c r="F7" s="40" t="inlineStr">
        <is>
          <t>원소</t>
        </is>
      </c>
      <c r="G7" s="26" t="inlineStr">
        <is>
          <t>핵심</t>
        </is>
      </c>
      <c r="H7" s="28" t="inlineStr">
        <is>
          <t>160·163쪽</t>
        </is>
      </c>
    </row>
    <row r="8" ht="20" customHeight="1">
      <c r="B8" s="23" t="n">
        <v>3</v>
      </c>
      <c r="C8" s="38" t="inlineStr">
        <is>
          <t>O₃</t>
        </is>
      </c>
      <c r="D8" s="23" t="inlineStr">
        <is>
          <t>O3</t>
        </is>
      </c>
      <c r="E8" s="39" t="inlineStr">
        <is>
          <t>오존</t>
        </is>
      </c>
      <c r="F8" s="40" t="inlineStr">
        <is>
          <t>원소</t>
        </is>
      </c>
      <c r="G8" s="26" t="inlineStr">
        <is>
          <t>핵심</t>
        </is>
      </c>
      <c r="H8" s="28" t="inlineStr">
        <is>
          <t>163쪽</t>
        </is>
      </c>
    </row>
    <row r="9" ht="20" customHeight="1">
      <c r="B9" s="33" t="n">
        <v>4</v>
      </c>
      <c r="C9" s="41" t="inlineStr">
        <is>
          <t>N₂</t>
        </is>
      </c>
      <c r="D9" s="33" t="inlineStr">
        <is>
          <t>N2</t>
        </is>
      </c>
      <c r="E9" s="42" t="inlineStr">
        <is>
          <t>질소</t>
        </is>
      </c>
      <c r="F9" s="43" t="inlineStr">
        <is>
          <t>원소</t>
        </is>
      </c>
      <c r="G9" s="35" t="inlineStr">
        <is>
          <t>확장</t>
        </is>
      </c>
      <c r="H9" s="36" t="inlineStr">
        <is>
          <t>–</t>
        </is>
      </c>
    </row>
    <row r="10" ht="20" customHeight="1">
      <c r="B10" s="23" t="n">
        <v>5</v>
      </c>
      <c r="C10" s="25" t="inlineStr">
        <is>
          <t>H₂O</t>
        </is>
      </c>
      <c r="D10" s="23" t="inlineStr">
        <is>
          <t>H2O</t>
        </is>
      </c>
      <c r="E10" s="44" t="inlineStr">
        <is>
          <t>물</t>
        </is>
      </c>
      <c r="F10" s="45" t="inlineStr">
        <is>
          <t>화합물</t>
        </is>
      </c>
      <c r="G10" s="26" t="inlineStr">
        <is>
          <t>핵심</t>
        </is>
      </c>
      <c r="H10" s="28" t="inlineStr">
        <is>
          <t>141·153쪽</t>
        </is>
      </c>
    </row>
    <row r="11" ht="20" customHeight="1">
      <c r="B11" s="23" t="n">
        <v>6</v>
      </c>
      <c r="C11" s="25" t="inlineStr">
        <is>
          <t>CH₄</t>
        </is>
      </c>
      <c r="D11" s="23" t="inlineStr">
        <is>
          <t>CH4</t>
        </is>
      </c>
      <c r="E11" s="44" t="inlineStr">
        <is>
          <t>메테인</t>
        </is>
      </c>
      <c r="F11" s="45" t="inlineStr">
        <is>
          <t>화합물</t>
        </is>
      </c>
      <c r="G11" s="26" t="inlineStr">
        <is>
          <t>핵심</t>
        </is>
      </c>
      <c r="H11" s="28" t="inlineStr">
        <is>
          <t>141·153쪽</t>
        </is>
      </c>
    </row>
    <row r="12" ht="20" customHeight="1">
      <c r="B12" s="23" t="n">
        <v>7</v>
      </c>
      <c r="C12" s="25" t="inlineStr">
        <is>
          <t>NH₃</t>
        </is>
      </c>
      <c r="D12" s="23" t="inlineStr">
        <is>
          <t>NH3</t>
        </is>
      </c>
      <c r="E12" s="44" t="inlineStr">
        <is>
          <t>암모니아</t>
        </is>
      </c>
      <c r="F12" s="45" t="inlineStr">
        <is>
          <t>화합물</t>
        </is>
      </c>
      <c r="G12" s="26" t="inlineStr">
        <is>
          <t>핵심</t>
        </is>
      </c>
      <c r="H12" s="28" t="inlineStr">
        <is>
          <t>141·153쪽</t>
        </is>
      </c>
    </row>
    <row r="13" ht="20" customHeight="1">
      <c r="B13" s="23" t="n">
        <v>8</v>
      </c>
      <c r="C13" s="25" t="inlineStr">
        <is>
          <t>CO</t>
        </is>
      </c>
      <c r="D13" s="23" t="inlineStr">
        <is>
          <t>CO</t>
        </is>
      </c>
      <c r="E13" s="44" t="inlineStr">
        <is>
          <t>일산화 탄소</t>
        </is>
      </c>
      <c r="F13" s="45" t="inlineStr">
        <is>
          <t>화합물</t>
        </is>
      </c>
      <c r="G13" s="26" t="inlineStr">
        <is>
          <t>핵심</t>
        </is>
      </c>
      <c r="H13" s="28" t="inlineStr">
        <is>
          <t>141·153쪽</t>
        </is>
      </c>
    </row>
    <row r="14" ht="20" customHeight="1">
      <c r="B14" s="23" t="n">
        <v>9</v>
      </c>
      <c r="C14" s="25" t="inlineStr">
        <is>
          <t>CO₂</t>
        </is>
      </c>
      <c r="D14" s="23" t="inlineStr">
        <is>
          <t>CO2</t>
        </is>
      </c>
      <c r="E14" s="44" t="inlineStr">
        <is>
          <t>이산화 탄소</t>
        </is>
      </c>
      <c r="F14" s="45" t="inlineStr">
        <is>
          <t>화합물</t>
        </is>
      </c>
      <c r="G14" s="26" t="inlineStr">
        <is>
          <t>핵심</t>
        </is>
      </c>
      <c r="H14" s="28" t="inlineStr">
        <is>
          <t>141·153쪽</t>
        </is>
      </c>
    </row>
    <row r="15" ht="20" customHeight="1">
      <c r="B15" s="23" t="n">
        <v>10</v>
      </c>
      <c r="C15" s="25" t="inlineStr">
        <is>
          <t>HCl</t>
        </is>
      </c>
      <c r="D15" s="23" t="inlineStr">
        <is>
          <t>HCl</t>
        </is>
      </c>
      <c r="E15" s="44" t="inlineStr">
        <is>
          <t>염화 수소</t>
        </is>
      </c>
      <c r="F15" s="45" t="inlineStr">
        <is>
          <t>화합물</t>
        </is>
      </c>
      <c r="G15" s="26" t="inlineStr">
        <is>
          <t>핵심</t>
        </is>
      </c>
      <c r="H15" s="28" t="inlineStr">
        <is>
          <t>153쪽</t>
        </is>
      </c>
    </row>
    <row r="16" ht="20" customHeight="1">
      <c r="B16" s="23" t="n">
        <v>11</v>
      </c>
      <c r="C16" s="25" t="inlineStr">
        <is>
          <t>H₂O₂</t>
        </is>
      </c>
      <c r="D16" s="23" t="inlineStr">
        <is>
          <t>H2O2</t>
        </is>
      </c>
      <c r="E16" s="44" t="inlineStr">
        <is>
          <t>과산화 수소</t>
        </is>
      </c>
      <c r="F16" s="45" t="inlineStr">
        <is>
          <t>화합물</t>
        </is>
      </c>
      <c r="G16" s="26" t="inlineStr">
        <is>
          <t>핵심</t>
        </is>
      </c>
      <c r="H16" s="37" t="inlineStr">
        <is>
          <t>–</t>
        </is>
      </c>
    </row>
    <row r="17" ht="20" customHeight="1">
      <c r="B17" s="33" t="n">
        <v>12</v>
      </c>
      <c r="C17" s="34" t="inlineStr">
        <is>
          <t>SO₂</t>
        </is>
      </c>
      <c r="D17" s="33" t="inlineStr">
        <is>
          <t>SO2</t>
        </is>
      </c>
      <c r="E17" s="46" t="inlineStr">
        <is>
          <t>이산화 황</t>
        </is>
      </c>
      <c r="F17" s="18" t="inlineStr">
        <is>
          <t>화합물</t>
        </is>
      </c>
      <c r="G17" s="35" t="inlineStr">
        <is>
          <t>확장</t>
        </is>
      </c>
      <c r="H17" s="36" t="inlineStr">
        <is>
          <t>–</t>
        </is>
      </c>
    </row>
    <row r="18" ht="20" customHeight="1">
      <c r="B18" s="29" t="n">
        <v>13</v>
      </c>
      <c r="C18" s="30" t="inlineStr">
        <is>
          <t>NO₂</t>
        </is>
      </c>
      <c r="D18" s="29" t="inlineStr">
        <is>
          <t>NO2</t>
        </is>
      </c>
      <c r="E18" s="47" t="inlineStr">
        <is>
          <t>이산화 질소</t>
        </is>
      </c>
      <c r="F18" s="16" t="inlineStr">
        <is>
          <t>화합물</t>
        </is>
      </c>
      <c r="G18" s="31" t="inlineStr">
        <is>
          <t>확장</t>
        </is>
      </c>
      <c r="H18" s="32" t="inlineStr">
        <is>
          <t>–</t>
        </is>
      </c>
    </row>
    <row r="19" ht="20" customHeight="1">
      <c r="B19" s="23" t="n">
        <v>14</v>
      </c>
      <c r="C19" s="25" t="inlineStr">
        <is>
          <t>C₆H₁₂O₆</t>
        </is>
      </c>
      <c r="D19" s="23" t="inlineStr">
        <is>
          <t>C6H12O6</t>
        </is>
      </c>
      <c r="E19" s="44" t="inlineStr">
        <is>
          <t>포도당</t>
        </is>
      </c>
      <c r="F19" s="45" t="inlineStr">
        <is>
          <t>화합물</t>
        </is>
      </c>
      <c r="G19" s="26" t="inlineStr">
        <is>
          <t>핵심</t>
        </is>
      </c>
      <c r="H19" s="37" t="inlineStr">
        <is>
          <t>–</t>
        </is>
      </c>
    </row>
    <row r="21" ht="18" customHeight="1">
      <c r="B21" s="20" t="inlineStr">
        <is>
          <t>※ 연노란색 = 학습 핵심 11종(학습 사이트 '교과서·학습 핵심만' 범위). 교과서 확인 쪽수가 적힌 물질은 Ⅳ단원에 화학식이 실제로 나옵니다. 141쪽 = 그림 Ⅳ-3, 153쪽 = 분자의 화학식.</t>
        </is>
      </c>
    </row>
    <row r="22" ht="18" customHeight="1">
      <c r="B22" s="20" t="inlineStr">
        <is>
          <t>※ 원소(초록): 한 가지 원소로만 이루어진 물질(H₂, O₂, O₃, N₂) / 화합물(남색): 두 가지 이상의 원소로 이루어진 물질. 원자 수는 아래첨자로 씁니다.</t>
        </is>
      </c>
    </row>
    <row r="23" ht="18" customHeight="1">
      <c r="B23" s="20" t="inlineStr">
        <is>
          <t>※ 이 단원에 나오지 않지만 수업에서 자주 다루는 물질 — 학습 핵심: 과산화 수소(H₂O₂) · 포도당(C₆H₁₂O₆)  /  확장: 질소(N₂) · 이산화 황(SO₂) · 이산화 질소(NO₂)</t>
        </is>
      </c>
    </row>
    <row r="24" ht="18" customHeight="1">
      <c r="B24" s="20" t="inlineStr">
        <is>
          <t>※ 4쪽 학습지(PDF)의 분자식 칸에는 핵심·확장 구분 없이 14종이 모두 실려 있습니다.</t>
        </is>
      </c>
    </row>
    <row r="25" ht="18" customHeight="1">
      <c r="B25" s="20" t="inlineStr">
        <is>
          <t>※ '입력용 표기'는 학습 사이트에서 답을 칠 때 쓰는 형태입니다. 숫자는 자동으로 아래첨자가 됩니다. 예) H2O → H₂O</t>
        </is>
      </c>
    </row>
  </sheetData>
  <mergeCells count="7">
    <mergeCell ref="B22:H22"/>
    <mergeCell ref="B21:H21"/>
    <mergeCell ref="B24:H24"/>
    <mergeCell ref="B2:H2"/>
    <mergeCell ref="B25:H25"/>
    <mergeCell ref="B3:H3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6FB8"/>
    <outlinePr summaryBelow="1" summaryRight="1"/>
    <pageSetUpPr/>
  </sheetPr>
  <dimension ref="B2:Q2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6" customWidth="1" min="2" max="2"/>
    <col width="18" customWidth="1" min="3" max="3"/>
    <col width="11" customWidth="1" min="4" max="4"/>
    <col width="11" customWidth="1" min="5" max="5"/>
    <col width="12" customWidth="1" min="6" max="6"/>
    <col width="11" customWidth="1" min="7" max="7"/>
    <col width="9" customWidth="1" min="8" max="8"/>
    <col width="12" customWidth="1" min="9" max="9"/>
    <col width="7" customWidth="1" min="10" max="10"/>
    <col width="11" customWidth="1" min="11" max="11"/>
    <col width="12" customWidth="1" min="12" max="12"/>
    <col width="14" customWidth="1" min="13" max="13"/>
    <col width="9" customWidth="1" min="14" max="14"/>
    <col width="10" customWidth="1" min="15" max="15"/>
    <col width="18" customWidth="1" min="16" max="16"/>
    <col width="44" customWidth="1" min="17" max="17"/>
  </cols>
  <sheetData>
    <row r="1" ht="8" customHeight="1"/>
    <row r="2" ht="30" customHeight="1">
      <c r="B2" s="21" t="inlineStr">
        <is>
          <t>양이온</t>
        </is>
      </c>
    </row>
    <row r="3" ht="18" customHeight="1">
      <c r="B3" s="22" t="inlineStr">
        <is>
          <t>전자를 잃어 (+)전하를 띤 이온 15종 중 학습 핵심 9종 (연노란색) · 연보라색 행 = 다원자 이온</t>
        </is>
      </c>
    </row>
    <row r="4" ht="6" customHeight="1"/>
    <row r="5" ht="36" customHeight="1">
      <c r="B5" s="5" t="inlineStr">
        <is>
          <t>번호</t>
        </is>
      </c>
      <c r="C5" s="5" t="inlineStr">
        <is>
          <t>이온의 이름</t>
        </is>
      </c>
      <c r="D5" s="5" t="inlineStr">
        <is>
          <t>이온식</t>
        </is>
      </c>
      <c r="E5" s="5" t="inlineStr">
        <is>
          <t>입력용 표기</t>
        </is>
      </c>
      <c r="F5" s="5" t="inlineStr">
        <is>
          <t>이온의 종류</t>
        </is>
      </c>
      <c r="G5" s="5" t="inlineStr">
        <is>
          <t>원소 이름</t>
        </is>
      </c>
      <c r="H5" s="5" t="inlineStr">
        <is>
          <t>원소 기호</t>
        </is>
      </c>
      <c r="I5" s="5" t="inlineStr">
        <is>
          <t>원자 번호
(= 양성자 수)</t>
        </is>
      </c>
      <c r="J5" s="5" t="inlineStr">
        <is>
          <t>전하</t>
        </is>
      </c>
      <c r="K5" s="5" t="inlineStr">
        <is>
          <t>잃거나 얻은
전자 수</t>
        </is>
      </c>
      <c r="L5" s="5" t="inlineStr">
        <is>
          <t>이온의 전자 수</t>
        </is>
      </c>
      <c r="M5" s="5" t="inlineStr">
        <is>
          <t>전류를 흘릴 때
이동하는 극</t>
        </is>
      </c>
      <c r="N5" s="5" t="inlineStr">
        <is>
          <t>학습 범위</t>
        </is>
      </c>
      <c r="O5" s="5" t="inlineStr">
        <is>
          <t>교과서 수록</t>
        </is>
      </c>
      <c r="P5" s="5" t="inlineStr">
        <is>
          <t>교과서 확인</t>
        </is>
      </c>
      <c r="Q5" s="5" t="inlineStr">
        <is>
          <t>비고 · 이름 짓는 법</t>
        </is>
      </c>
    </row>
    <row r="6" ht="21" customHeight="1">
      <c r="B6" s="23" t="n">
        <v>1</v>
      </c>
      <c r="C6" s="48" t="inlineStr">
        <is>
          <t>수소 이온</t>
        </is>
      </c>
      <c r="D6" s="49" t="inlineStr">
        <is>
          <t>H⁺</t>
        </is>
      </c>
      <c r="E6" s="23" t="inlineStr">
        <is>
          <t>H+</t>
        </is>
      </c>
      <c r="F6" s="50" t="inlineStr">
        <is>
          <t>단원자 이온</t>
        </is>
      </c>
      <c r="G6" s="27" t="inlineStr">
        <is>
          <t>수소</t>
        </is>
      </c>
      <c r="H6" s="27" t="inlineStr">
        <is>
          <t>H</t>
        </is>
      </c>
      <c r="I6" s="27" t="n">
        <v>1</v>
      </c>
      <c r="J6" s="51" t="n">
        <v>1</v>
      </c>
      <c r="K6" s="27">
        <f>ABS(J6)</f>
        <v/>
      </c>
      <c r="L6" s="27">
        <f>IF(I6="-","-",I6-J6)</f>
        <v/>
      </c>
      <c r="M6" s="27">
        <f>IF(J6&gt;0,"(−)극","(+)극")</f>
        <v/>
      </c>
      <c r="N6" s="26" t="inlineStr">
        <is>
          <t>핵심</t>
        </is>
      </c>
      <c r="O6" s="27" t="inlineStr">
        <is>
          <t>교과서</t>
        </is>
      </c>
      <c r="P6" s="28" t="inlineStr">
        <is>
          <t>155쪽 표 Ⅳ-1</t>
        </is>
      </c>
      <c r="Q6" s="52" t="inlineStr">
        <is>
          <t>표 Ⅳ-1 수록</t>
        </is>
      </c>
    </row>
    <row r="7" ht="21" customHeight="1">
      <c r="B7" s="23" t="n">
        <v>2</v>
      </c>
      <c r="C7" s="48" t="inlineStr">
        <is>
          <t>리튬 이온</t>
        </is>
      </c>
      <c r="D7" s="49" t="inlineStr">
        <is>
          <t>Li⁺</t>
        </is>
      </c>
      <c r="E7" s="23" t="inlineStr">
        <is>
          <t>Li+</t>
        </is>
      </c>
      <c r="F7" s="50" t="inlineStr">
        <is>
          <t>단원자 이온</t>
        </is>
      </c>
      <c r="G7" s="27" t="inlineStr">
        <is>
          <t>리튬</t>
        </is>
      </c>
      <c r="H7" s="27" t="inlineStr">
        <is>
          <t>Li</t>
        </is>
      </c>
      <c r="I7" s="27" t="n">
        <v>3</v>
      </c>
      <c r="J7" s="51" t="n">
        <v>1</v>
      </c>
      <c r="K7" s="27">
        <f>ABS(J7)</f>
        <v/>
      </c>
      <c r="L7" s="27">
        <f>IF(I7="-","-",I7-J7)</f>
        <v/>
      </c>
      <c r="M7" s="27">
        <f>IF(J7&gt;0,"(−)극","(+)극")</f>
        <v/>
      </c>
      <c r="N7" s="26" t="inlineStr">
        <is>
          <t>핵심</t>
        </is>
      </c>
      <c r="O7" s="27" t="inlineStr">
        <is>
          <t>교과서</t>
        </is>
      </c>
      <c r="P7" s="28" t="inlineStr">
        <is>
          <t>154쪽 그림 Ⅳ-11</t>
        </is>
      </c>
      <c r="Q7" s="52" t="inlineStr">
        <is>
          <t>그림 Ⅳ-11 수록</t>
        </is>
      </c>
    </row>
    <row r="8" ht="21" customHeight="1">
      <c r="B8" s="23" t="n">
        <v>3</v>
      </c>
      <c r="C8" s="48" t="inlineStr">
        <is>
          <t>나트륨 이온</t>
        </is>
      </c>
      <c r="D8" s="49" t="inlineStr">
        <is>
          <t>Na⁺</t>
        </is>
      </c>
      <c r="E8" s="23" t="inlineStr">
        <is>
          <t>Na+</t>
        </is>
      </c>
      <c r="F8" s="50" t="inlineStr">
        <is>
          <t>단원자 이온</t>
        </is>
      </c>
      <c r="G8" s="27" t="inlineStr">
        <is>
          <t>나트륨</t>
        </is>
      </c>
      <c r="H8" s="27" t="inlineStr">
        <is>
          <t>Na</t>
        </is>
      </c>
      <c r="I8" s="27" t="n">
        <v>11</v>
      </c>
      <c r="J8" s="51" t="n">
        <v>1</v>
      </c>
      <c r="K8" s="27">
        <f>ABS(J8)</f>
        <v/>
      </c>
      <c r="L8" s="27">
        <f>IF(I8="-","-",I8-J8)</f>
        <v/>
      </c>
      <c r="M8" s="27">
        <f>IF(J8&gt;0,"(−)극","(+)극")</f>
        <v/>
      </c>
      <c r="N8" s="26" t="inlineStr">
        <is>
          <t>핵심</t>
        </is>
      </c>
      <c r="O8" s="27" t="inlineStr">
        <is>
          <t>교과서</t>
        </is>
      </c>
      <c r="P8" s="28" t="inlineStr">
        <is>
          <t>155쪽 그림 Ⅳ-12</t>
        </is>
      </c>
      <c r="Q8" s="52" t="inlineStr">
        <is>
          <t>잃은 전자가 1개이므로 숫자 1을 생략</t>
        </is>
      </c>
    </row>
    <row r="9" ht="21" customHeight="1">
      <c r="B9" s="23" t="n">
        <v>4</v>
      </c>
      <c r="C9" s="48" t="inlineStr">
        <is>
          <t>칼륨 이온</t>
        </is>
      </c>
      <c r="D9" s="49" t="inlineStr">
        <is>
          <t>K⁺</t>
        </is>
      </c>
      <c r="E9" s="23" t="inlineStr">
        <is>
          <t>K+</t>
        </is>
      </c>
      <c r="F9" s="50" t="inlineStr">
        <is>
          <t>단원자 이온</t>
        </is>
      </c>
      <c r="G9" s="27" t="inlineStr">
        <is>
          <t>칼륨</t>
        </is>
      </c>
      <c r="H9" s="27" t="inlineStr">
        <is>
          <t>K</t>
        </is>
      </c>
      <c r="I9" s="27" t="n">
        <v>19</v>
      </c>
      <c r="J9" s="51" t="n">
        <v>1</v>
      </c>
      <c r="K9" s="27">
        <f>ABS(J9)</f>
        <v/>
      </c>
      <c r="L9" s="27">
        <f>IF(I9="-","-",I9-J9)</f>
        <v/>
      </c>
      <c r="M9" s="27">
        <f>IF(J9&gt;0,"(−)극","(+)극")</f>
        <v/>
      </c>
      <c r="N9" s="26" t="inlineStr">
        <is>
          <t>핵심</t>
        </is>
      </c>
      <c r="O9" s="27" t="inlineStr">
        <is>
          <t>교과서</t>
        </is>
      </c>
      <c r="P9" s="28" t="inlineStr">
        <is>
          <t>155쪽 표 Ⅳ-1</t>
        </is>
      </c>
      <c r="Q9" s="52" t="inlineStr">
        <is>
          <t>질산 칼륨·과망가니즈산 칼륨 수용액에 들어 있음</t>
        </is>
      </c>
    </row>
    <row r="10" ht="21" customHeight="1">
      <c r="B10" s="23" t="n">
        <v>5</v>
      </c>
      <c r="C10" s="48" t="inlineStr">
        <is>
          <t>베릴륨 이온</t>
        </is>
      </c>
      <c r="D10" s="49" t="inlineStr">
        <is>
          <t>Be²⁺</t>
        </is>
      </c>
      <c r="E10" s="23" t="inlineStr">
        <is>
          <t>Be2+</t>
        </is>
      </c>
      <c r="F10" s="50" t="inlineStr">
        <is>
          <t>단원자 이온</t>
        </is>
      </c>
      <c r="G10" s="27" t="inlineStr">
        <is>
          <t>베릴륨</t>
        </is>
      </c>
      <c r="H10" s="27" t="inlineStr">
        <is>
          <t>Be</t>
        </is>
      </c>
      <c r="I10" s="27" t="n">
        <v>4</v>
      </c>
      <c r="J10" s="51" t="n">
        <v>2</v>
      </c>
      <c r="K10" s="27">
        <f>ABS(J10)</f>
        <v/>
      </c>
      <c r="L10" s="27">
        <f>IF(I10="-","-",I10-J10)</f>
        <v/>
      </c>
      <c r="M10" s="27">
        <f>IF(J10&gt;0,"(−)극","(+)극")</f>
        <v/>
      </c>
      <c r="N10" s="26" t="inlineStr">
        <is>
          <t>핵심</t>
        </is>
      </c>
      <c r="O10" s="27" t="inlineStr">
        <is>
          <t>교과서</t>
        </is>
      </c>
      <c r="P10" s="28" t="inlineStr">
        <is>
          <t>155쪽 표 Ⅳ-1</t>
        </is>
      </c>
      <c r="Q10" s="52" t="inlineStr">
        <is>
          <t>표 Ⅳ-1 수록</t>
        </is>
      </c>
    </row>
    <row r="11" ht="21" customHeight="1">
      <c r="B11" s="23" t="n">
        <v>6</v>
      </c>
      <c r="C11" s="48" t="inlineStr">
        <is>
          <t>마그네슘 이온</t>
        </is>
      </c>
      <c r="D11" s="49" t="inlineStr">
        <is>
          <t>Mg²⁺</t>
        </is>
      </c>
      <c r="E11" s="23" t="inlineStr">
        <is>
          <t>Mg2+</t>
        </is>
      </c>
      <c r="F11" s="50" t="inlineStr">
        <is>
          <t>단원자 이온</t>
        </is>
      </c>
      <c r="G11" s="27" t="inlineStr">
        <is>
          <t>마그네슘</t>
        </is>
      </c>
      <c r="H11" s="27" t="inlineStr">
        <is>
          <t>Mg</t>
        </is>
      </c>
      <c r="I11" s="27" t="n">
        <v>12</v>
      </c>
      <c r="J11" s="51" t="n">
        <v>2</v>
      </c>
      <c r="K11" s="27">
        <f>ABS(J11)</f>
        <v/>
      </c>
      <c r="L11" s="27">
        <f>IF(I11="-","-",I11-J11)</f>
        <v/>
      </c>
      <c r="M11" s="27">
        <f>IF(J11&gt;0,"(−)극","(+)극")</f>
        <v/>
      </c>
      <c r="N11" s="26" t="inlineStr">
        <is>
          <t>핵심</t>
        </is>
      </c>
      <c r="O11" s="27" t="inlineStr">
        <is>
          <t>교과서</t>
        </is>
      </c>
      <c r="P11" s="28" t="inlineStr">
        <is>
          <t>155쪽 표 Ⅳ-1</t>
        </is>
      </c>
      <c r="Q11" s="52" t="inlineStr">
        <is>
          <t>표 Ⅳ-1 수록</t>
        </is>
      </c>
    </row>
    <row r="12" ht="21" customHeight="1">
      <c r="B12" s="23" t="n">
        <v>7</v>
      </c>
      <c r="C12" s="48" t="inlineStr">
        <is>
          <t>칼슘 이온</t>
        </is>
      </c>
      <c r="D12" s="49" t="inlineStr">
        <is>
          <t>Ca²⁺</t>
        </is>
      </c>
      <c r="E12" s="23" t="inlineStr">
        <is>
          <t>Ca2+</t>
        </is>
      </c>
      <c r="F12" s="50" t="inlineStr">
        <is>
          <t>단원자 이온</t>
        </is>
      </c>
      <c r="G12" s="27" t="inlineStr">
        <is>
          <t>칼슘</t>
        </is>
      </c>
      <c r="H12" s="27" t="inlineStr">
        <is>
          <t>Ca</t>
        </is>
      </c>
      <c r="I12" s="27" t="n">
        <v>20</v>
      </c>
      <c r="J12" s="51" t="n">
        <v>2</v>
      </c>
      <c r="K12" s="27">
        <f>ABS(J12)</f>
        <v/>
      </c>
      <c r="L12" s="27">
        <f>IF(I12="-","-",I12-J12)</f>
        <v/>
      </c>
      <c r="M12" s="27">
        <f>IF(J12&gt;0,"(−)극","(+)극")</f>
        <v/>
      </c>
      <c r="N12" s="26" t="inlineStr">
        <is>
          <t>핵심</t>
        </is>
      </c>
      <c r="O12" s="27" t="inlineStr">
        <is>
          <t>교과서</t>
        </is>
      </c>
      <c r="P12" s="28" t="inlineStr">
        <is>
          <t>155쪽 표 Ⅳ-1</t>
        </is>
      </c>
      <c r="Q12" s="52" t="inlineStr">
        <is>
          <t>표 Ⅳ-1 수록</t>
        </is>
      </c>
    </row>
    <row r="13" ht="21" customHeight="1">
      <c r="B13" s="23" t="n">
        <v>8</v>
      </c>
      <c r="C13" s="48" t="inlineStr">
        <is>
          <t>구리 이온</t>
        </is>
      </c>
      <c r="D13" s="49" t="inlineStr">
        <is>
          <t>Cu²⁺</t>
        </is>
      </c>
      <c r="E13" s="23" t="inlineStr">
        <is>
          <t>Cu2+</t>
        </is>
      </c>
      <c r="F13" s="50" t="inlineStr">
        <is>
          <t>단원자 이온</t>
        </is>
      </c>
      <c r="G13" s="27" t="inlineStr">
        <is>
          <t>구리</t>
        </is>
      </c>
      <c r="H13" s="27" t="inlineStr">
        <is>
          <t>Cu</t>
        </is>
      </c>
      <c r="I13" s="27" t="n">
        <v>29</v>
      </c>
      <c r="J13" s="51" t="n">
        <v>2</v>
      </c>
      <c r="K13" s="27">
        <f>ABS(J13)</f>
        <v/>
      </c>
      <c r="L13" s="27">
        <f>IF(I13="-","-",I13-J13)</f>
        <v/>
      </c>
      <c r="M13" s="27">
        <f>IF(J13&gt;0,"(−)극","(+)극")</f>
        <v/>
      </c>
      <c r="N13" s="26" t="inlineStr">
        <is>
          <t>핵심</t>
        </is>
      </c>
      <c r="O13" s="27" t="inlineStr">
        <is>
          <t>교과서</t>
        </is>
      </c>
      <c r="P13" s="28" t="inlineStr">
        <is>
          <t>155쪽 그림 Ⅳ-12</t>
        </is>
      </c>
      <c r="Q13" s="52" t="inlineStr">
        <is>
          <t>잃은 전자 수 2를 전하 기호 앞에 씀 · 구리(Ⅱ) 이온</t>
        </is>
      </c>
    </row>
    <row r="14" ht="21" customHeight="1">
      <c r="B14" s="53" t="n">
        <v>9</v>
      </c>
      <c r="C14" s="54" t="inlineStr">
        <is>
          <t>암모늄 이온</t>
        </is>
      </c>
      <c r="D14" s="55" t="inlineStr">
        <is>
          <t>NH₄⁺</t>
        </is>
      </c>
      <c r="E14" s="53" t="inlineStr">
        <is>
          <t>NH4+</t>
        </is>
      </c>
      <c r="F14" s="56" t="inlineStr">
        <is>
          <t>다원자 이온</t>
        </is>
      </c>
      <c r="G14" s="57" t="inlineStr">
        <is>
          <t>-</t>
        </is>
      </c>
      <c r="H14" s="57" t="inlineStr">
        <is>
          <t>-</t>
        </is>
      </c>
      <c r="I14" s="57" t="inlineStr">
        <is>
          <t>-</t>
        </is>
      </c>
      <c r="J14" s="58" t="n">
        <v>1</v>
      </c>
      <c r="K14" s="57">
        <f>ABS(J14)</f>
        <v/>
      </c>
      <c r="L14" s="57">
        <f>IF(I14="-","-",I14-J14)</f>
        <v/>
      </c>
      <c r="M14" s="57">
        <f>IF(J14&gt;0,"(−)극","(+)극")</f>
        <v/>
      </c>
      <c r="N14" s="59" t="inlineStr">
        <is>
          <t>핵심</t>
        </is>
      </c>
      <c r="O14" s="57" t="inlineStr">
        <is>
          <t>교과서</t>
        </is>
      </c>
      <c r="P14" s="60" t="inlineStr">
        <is>
          <t>155쪽 본문</t>
        </is>
      </c>
      <c r="Q14" s="61" t="inlineStr">
        <is>
          <t>질소 1개와 수소 4개가 결합한 다원자 이온</t>
        </is>
      </c>
    </row>
    <row r="15" ht="21" customHeight="1">
      <c r="B15" s="33" t="n">
        <v>10</v>
      </c>
      <c r="C15" s="62" t="inlineStr">
        <is>
          <t>알루미늄 이온</t>
        </is>
      </c>
      <c r="D15" s="63" t="inlineStr">
        <is>
          <t>Al³⁺</t>
        </is>
      </c>
      <c r="E15" s="33" t="inlineStr">
        <is>
          <t>Al3+</t>
        </is>
      </c>
      <c r="F15" s="64" t="inlineStr">
        <is>
          <t>단원자 이온</t>
        </is>
      </c>
      <c r="G15" s="7" t="inlineStr">
        <is>
          <t>알루미늄</t>
        </is>
      </c>
      <c r="H15" s="7" t="inlineStr">
        <is>
          <t>Al</t>
        </is>
      </c>
      <c r="I15" s="7" t="n">
        <v>13</v>
      </c>
      <c r="J15" s="65" t="n">
        <v>3</v>
      </c>
      <c r="K15" s="7">
        <f>ABS(J15)</f>
        <v/>
      </c>
      <c r="L15" s="7">
        <f>IF(I15="-","-",I15-J15)</f>
        <v/>
      </c>
      <c r="M15" s="7">
        <f>IF(J15&gt;0,"(−)극","(+)극")</f>
        <v/>
      </c>
      <c r="N15" s="35" t="inlineStr">
        <is>
          <t>확장</t>
        </is>
      </c>
      <c r="O15" s="33" t="inlineStr">
        <is>
          <t>추가</t>
        </is>
      </c>
      <c r="P15" s="36" t="inlineStr">
        <is>
          <t>–</t>
        </is>
      </c>
      <c r="Q15" s="66" t="inlineStr">
        <is>
          <t>전자 3개를 잃는 대표적인 양이온</t>
        </is>
      </c>
    </row>
    <row r="16" ht="21" customHeight="1">
      <c r="B16" s="29" t="n">
        <v>11</v>
      </c>
      <c r="C16" s="67" t="inlineStr">
        <is>
          <t>아연 이온</t>
        </is>
      </c>
      <c r="D16" s="68" t="inlineStr">
        <is>
          <t>Zn²⁺</t>
        </is>
      </c>
      <c r="E16" s="29" t="inlineStr">
        <is>
          <t>Zn2+</t>
        </is>
      </c>
      <c r="F16" s="69" t="inlineStr">
        <is>
          <t>단원자 이온</t>
        </is>
      </c>
      <c r="G16" s="11" t="inlineStr">
        <is>
          <t>아연</t>
        </is>
      </c>
      <c r="H16" s="11" t="inlineStr">
        <is>
          <t>Zn</t>
        </is>
      </c>
      <c r="I16" s="11" t="n">
        <v>30</v>
      </c>
      <c r="J16" s="70" t="n">
        <v>2</v>
      </c>
      <c r="K16" s="11">
        <f>ABS(J16)</f>
        <v/>
      </c>
      <c r="L16" s="11">
        <f>IF(I16="-","-",I16-J16)</f>
        <v/>
      </c>
      <c r="M16" s="11">
        <f>IF(J16&gt;0,"(−)극","(+)극")</f>
        <v/>
      </c>
      <c r="N16" s="31" t="inlineStr">
        <is>
          <t>확장</t>
        </is>
      </c>
      <c r="O16" s="29" t="inlineStr">
        <is>
          <t>추가</t>
        </is>
      </c>
      <c r="P16" s="32" t="inlineStr">
        <is>
          <t>–</t>
        </is>
      </c>
      <c r="Q16" s="71" t="inlineStr">
        <is>
          <t>금속과 산의 반응에서 자주 등장</t>
        </is>
      </c>
    </row>
    <row r="17" ht="21" customHeight="1">
      <c r="B17" s="33" t="n">
        <v>12</v>
      </c>
      <c r="C17" s="62" t="inlineStr">
        <is>
          <t>은 이온</t>
        </is>
      </c>
      <c r="D17" s="63" t="inlineStr">
        <is>
          <t>Ag⁺</t>
        </is>
      </c>
      <c r="E17" s="33" t="inlineStr">
        <is>
          <t>Ag+</t>
        </is>
      </c>
      <c r="F17" s="64" t="inlineStr">
        <is>
          <t>단원자 이온</t>
        </is>
      </c>
      <c r="G17" s="7" t="inlineStr">
        <is>
          <t>은</t>
        </is>
      </c>
      <c r="H17" s="7" t="inlineStr">
        <is>
          <t>Ag</t>
        </is>
      </c>
      <c r="I17" s="7" t="n">
        <v>47</v>
      </c>
      <c r="J17" s="65" t="n">
        <v>1</v>
      </c>
      <c r="K17" s="7">
        <f>ABS(J17)</f>
        <v/>
      </c>
      <c r="L17" s="7">
        <f>IF(I17="-","-",I17-J17)</f>
        <v/>
      </c>
      <c r="M17" s="7">
        <f>IF(J17&gt;0,"(−)극","(+)극")</f>
        <v/>
      </c>
      <c r="N17" s="35" t="inlineStr">
        <is>
          <t>확장</t>
        </is>
      </c>
      <c r="O17" s="33" t="inlineStr">
        <is>
          <t>추가</t>
        </is>
      </c>
      <c r="P17" s="36" t="inlineStr">
        <is>
          <t>–</t>
        </is>
      </c>
      <c r="Q17" s="66" t="inlineStr">
        <is>
          <t>앙금 생성 반응에서 자주 등장</t>
        </is>
      </c>
    </row>
    <row r="18" ht="21" customHeight="1">
      <c r="B18" s="29" t="n">
        <v>13</v>
      </c>
      <c r="C18" s="67" t="inlineStr">
        <is>
          <t>바륨 이온</t>
        </is>
      </c>
      <c r="D18" s="68" t="inlineStr">
        <is>
          <t>Ba²⁺</t>
        </is>
      </c>
      <c r="E18" s="29" t="inlineStr">
        <is>
          <t>Ba2+</t>
        </is>
      </c>
      <c r="F18" s="69" t="inlineStr">
        <is>
          <t>단원자 이온</t>
        </is>
      </c>
      <c r="G18" s="11" t="inlineStr">
        <is>
          <t>바륨</t>
        </is>
      </c>
      <c r="H18" s="11" t="inlineStr">
        <is>
          <t>Ba</t>
        </is>
      </c>
      <c r="I18" s="11" t="n">
        <v>56</v>
      </c>
      <c r="J18" s="70" t="n">
        <v>2</v>
      </c>
      <c r="K18" s="11">
        <f>ABS(J18)</f>
        <v/>
      </c>
      <c r="L18" s="11">
        <f>IF(I18="-","-",I18-J18)</f>
        <v/>
      </c>
      <c r="M18" s="11">
        <f>IF(J18&gt;0,"(−)극","(+)극")</f>
        <v/>
      </c>
      <c r="N18" s="31" t="inlineStr">
        <is>
          <t>확장</t>
        </is>
      </c>
      <c r="O18" s="29" t="inlineStr">
        <is>
          <t>추가</t>
        </is>
      </c>
      <c r="P18" s="32" t="inlineStr">
        <is>
          <t>–</t>
        </is>
      </c>
      <c r="Q18" s="71" t="inlineStr">
        <is>
          <t>황산 이온과 흰색 앙금을 만듦</t>
        </is>
      </c>
    </row>
    <row r="19" ht="21" customHeight="1">
      <c r="B19" s="33" t="n">
        <v>14</v>
      </c>
      <c r="C19" s="62" t="inlineStr">
        <is>
          <t>철 이온</t>
        </is>
      </c>
      <c r="D19" s="63" t="inlineStr">
        <is>
          <t>Fe²⁺</t>
        </is>
      </c>
      <c r="E19" s="33" t="inlineStr">
        <is>
          <t>Fe2+</t>
        </is>
      </c>
      <c r="F19" s="64" t="inlineStr">
        <is>
          <t>단원자 이온</t>
        </is>
      </c>
      <c r="G19" s="7" t="inlineStr">
        <is>
          <t>철</t>
        </is>
      </c>
      <c r="H19" s="7" t="inlineStr">
        <is>
          <t>Fe</t>
        </is>
      </c>
      <c r="I19" s="7" t="n">
        <v>26</v>
      </c>
      <c r="J19" s="65" t="n">
        <v>2</v>
      </c>
      <c r="K19" s="7">
        <f>ABS(J19)</f>
        <v/>
      </c>
      <c r="L19" s="7">
        <f>IF(I19="-","-",I19-J19)</f>
        <v/>
      </c>
      <c r="M19" s="7">
        <f>IF(J19&gt;0,"(−)극","(+)극")</f>
        <v/>
      </c>
      <c r="N19" s="35" t="inlineStr">
        <is>
          <t>확장</t>
        </is>
      </c>
      <c r="O19" s="33" t="inlineStr">
        <is>
          <t>추가</t>
        </is>
      </c>
      <c r="P19" s="36" t="inlineStr">
        <is>
          <t>–</t>
        </is>
      </c>
      <c r="Q19" s="66" t="inlineStr">
        <is>
          <t>철은 Fe²⁺, Fe³⁺ 두 가지 이온을 만듦 · 철(Ⅱ) 이온</t>
        </is>
      </c>
    </row>
    <row r="20" ht="21" customHeight="1">
      <c r="B20" s="29" t="n">
        <v>15</v>
      </c>
      <c r="C20" s="67" t="inlineStr">
        <is>
          <t>납 이온</t>
        </is>
      </c>
      <c r="D20" s="68" t="inlineStr">
        <is>
          <t>Pb²⁺</t>
        </is>
      </c>
      <c r="E20" s="29" t="inlineStr">
        <is>
          <t>Pb2+</t>
        </is>
      </c>
      <c r="F20" s="69" t="inlineStr">
        <is>
          <t>단원자 이온</t>
        </is>
      </c>
      <c r="G20" s="11" t="inlineStr">
        <is>
          <t>납</t>
        </is>
      </c>
      <c r="H20" s="11" t="inlineStr">
        <is>
          <t>Pb</t>
        </is>
      </c>
      <c r="I20" s="11" t="n">
        <v>82</v>
      </c>
      <c r="J20" s="70" t="n">
        <v>2</v>
      </c>
      <c r="K20" s="11">
        <f>ABS(J20)</f>
        <v/>
      </c>
      <c r="L20" s="11">
        <f>IF(I20="-","-",I20-J20)</f>
        <v/>
      </c>
      <c r="M20" s="11">
        <f>IF(J20&gt;0,"(−)극","(+)극")</f>
        <v/>
      </c>
      <c r="N20" s="31" t="inlineStr">
        <is>
          <t>확장</t>
        </is>
      </c>
      <c r="O20" s="29" t="inlineStr">
        <is>
          <t>추가</t>
        </is>
      </c>
      <c r="P20" s="32" t="inlineStr">
        <is>
          <t>–</t>
        </is>
      </c>
      <c r="Q20" s="71" t="inlineStr">
        <is>
          <t>아이오딘화 이온과 노란색 앙금을 만듦</t>
        </is>
      </c>
    </row>
    <row r="22" ht="18" customHeight="1">
      <c r="B22" s="20" t="inlineStr">
        <is>
          <t>※ 연노란색 = 학습 핵심 이온(학습 사이트 '교과서·학습 핵심만' 범위 · 학습지 수록). 154쪽 그림 Ⅳ-11, 155쪽 그림 Ⅳ-12·표 Ⅳ-1, 157쪽 그림 Ⅳ-13에서 확인했습니다.</t>
        </is>
      </c>
    </row>
    <row r="23" ht="18" customHeight="1">
      <c r="B23" s="20" t="inlineStr">
        <is>
          <t>※ 연보라색 행 = 다원자 이온(여러 원자가 결합한 이온). 원자 번호가 하나로 정해지지 않으므로 '-'로 표시했습니다. 양이온은 파란 글자, 음이온은 빨간 글자입니다.</t>
        </is>
      </c>
    </row>
    <row r="24" ht="18" customHeight="1">
      <c r="B24" s="20" t="inlineStr">
        <is>
          <t>※ '잃거나 얻은 전자 수', '이온의 전자 수', '이동하는 극'은 수식입니다. 원자 번호나 전하를 바꾸면 자동으로 다시 계산됩니다.</t>
        </is>
      </c>
    </row>
    <row r="25" ht="18" customHeight="1">
      <c r="B25" s="20" t="inlineStr">
        <is>
          <t>※ '입력용 표기'는 학습 사이트에서 답을 칠 때 쓰는 형태입니다. 맨 끝의 숫자와 부호는 자동으로 위첨자(전하)가 됩니다. 예) Cu2+ → Cu²⁺, SO42- → SO₄²⁻</t>
        </is>
      </c>
    </row>
  </sheetData>
  <mergeCells count="6">
    <mergeCell ref="B22:Q22"/>
    <mergeCell ref="B23:Q23"/>
    <mergeCell ref="B24:Q24"/>
    <mergeCell ref="B2:Q2"/>
    <mergeCell ref="B25:Q25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4404B"/>
    <outlinePr summaryBelow="1" summaryRight="1"/>
    <pageSetUpPr/>
  </sheetPr>
  <dimension ref="B2:Q2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6" customWidth="1" min="2" max="2"/>
    <col width="18" customWidth="1" min="3" max="3"/>
    <col width="11" customWidth="1" min="4" max="4"/>
    <col width="11" customWidth="1" min="5" max="5"/>
    <col width="12" customWidth="1" min="6" max="6"/>
    <col width="11" customWidth="1" min="7" max="7"/>
    <col width="9" customWidth="1" min="8" max="8"/>
    <col width="12" customWidth="1" min="9" max="9"/>
    <col width="7" customWidth="1" min="10" max="10"/>
    <col width="11" customWidth="1" min="11" max="11"/>
    <col width="12" customWidth="1" min="12" max="12"/>
    <col width="14" customWidth="1" min="13" max="13"/>
    <col width="9" customWidth="1" min="14" max="14"/>
    <col width="10" customWidth="1" min="15" max="15"/>
    <col width="18" customWidth="1" min="16" max="16"/>
    <col width="44" customWidth="1" min="17" max="17"/>
  </cols>
  <sheetData>
    <row r="1" ht="8" customHeight="1"/>
    <row r="2" ht="30" customHeight="1">
      <c r="B2" s="21" t="inlineStr">
        <is>
          <t>음이온</t>
        </is>
      </c>
    </row>
    <row r="3" ht="18" customHeight="1">
      <c r="B3" s="22" t="inlineStr">
        <is>
          <t>전자를 얻어 (−)전하를 띤 이온 11종 중 학습 핵심 9종 (연노란색) · 연보라색 행 = 다원자 이온</t>
        </is>
      </c>
    </row>
    <row r="4" ht="6" customHeight="1"/>
    <row r="5" ht="36" customHeight="1">
      <c r="B5" s="5" t="inlineStr">
        <is>
          <t>번호</t>
        </is>
      </c>
      <c r="C5" s="5" t="inlineStr">
        <is>
          <t>이온의 이름</t>
        </is>
      </c>
      <c r="D5" s="5" t="inlineStr">
        <is>
          <t>이온식</t>
        </is>
      </c>
      <c r="E5" s="5" t="inlineStr">
        <is>
          <t>입력용 표기</t>
        </is>
      </c>
      <c r="F5" s="5" t="inlineStr">
        <is>
          <t>이온의 종류</t>
        </is>
      </c>
      <c r="G5" s="5" t="inlineStr">
        <is>
          <t>원소 이름</t>
        </is>
      </c>
      <c r="H5" s="5" t="inlineStr">
        <is>
          <t>원소 기호</t>
        </is>
      </c>
      <c r="I5" s="5" t="inlineStr">
        <is>
          <t>원자 번호
(= 양성자 수)</t>
        </is>
      </c>
      <c r="J5" s="5" t="inlineStr">
        <is>
          <t>전하</t>
        </is>
      </c>
      <c r="K5" s="5" t="inlineStr">
        <is>
          <t>잃거나 얻은
전자 수</t>
        </is>
      </c>
      <c r="L5" s="5" t="inlineStr">
        <is>
          <t>이온의 전자 수</t>
        </is>
      </c>
      <c r="M5" s="5" t="inlineStr">
        <is>
          <t>전류를 흘릴 때
이동하는 극</t>
        </is>
      </c>
      <c r="N5" s="5" t="inlineStr">
        <is>
          <t>학습 범위</t>
        </is>
      </c>
      <c r="O5" s="5" t="inlineStr">
        <is>
          <t>교과서 수록</t>
        </is>
      </c>
      <c r="P5" s="5" t="inlineStr">
        <is>
          <t>교과서 확인</t>
        </is>
      </c>
      <c r="Q5" s="5" t="inlineStr">
        <is>
          <t>비고 · 이름 짓는 법</t>
        </is>
      </c>
    </row>
    <row r="6" ht="21" customHeight="1">
      <c r="B6" s="23" t="n">
        <v>1</v>
      </c>
      <c r="C6" s="72" t="inlineStr">
        <is>
          <t>염화 이온</t>
        </is>
      </c>
      <c r="D6" s="73" t="inlineStr">
        <is>
          <t>Cl⁻</t>
        </is>
      </c>
      <c r="E6" s="23" t="inlineStr">
        <is>
          <t>Cl-</t>
        </is>
      </c>
      <c r="F6" s="50" t="inlineStr">
        <is>
          <t>단원자 이온</t>
        </is>
      </c>
      <c r="G6" s="27" t="inlineStr">
        <is>
          <t>염소</t>
        </is>
      </c>
      <c r="H6" s="27" t="inlineStr">
        <is>
          <t>Cl</t>
        </is>
      </c>
      <c r="I6" s="27" t="n">
        <v>17</v>
      </c>
      <c r="J6" s="74" t="n">
        <v>-1</v>
      </c>
      <c r="K6" s="27">
        <f>ABS(J6)</f>
        <v/>
      </c>
      <c r="L6" s="27">
        <f>IF(I6="-","-",I6-J6)</f>
        <v/>
      </c>
      <c r="M6" s="27">
        <f>IF(J6&gt;0,"(−)극","(+)극")</f>
        <v/>
      </c>
      <c r="N6" s="26" t="inlineStr">
        <is>
          <t>핵심</t>
        </is>
      </c>
      <c r="O6" s="27" t="inlineStr">
        <is>
          <t>교과서</t>
        </is>
      </c>
      <c r="P6" s="28" t="inlineStr">
        <is>
          <t>155쪽 그림 Ⅳ-12</t>
        </is>
      </c>
      <c r="Q6" s="52" t="inlineStr">
        <is>
          <t>'염소'는 '소'를 떼고 '염화 이온'이라 부름</t>
        </is>
      </c>
    </row>
    <row r="7" ht="21" customHeight="1">
      <c r="B7" s="23" t="n">
        <v>2</v>
      </c>
      <c r="C7" s="72" t="inlineStr">
        <is>
          <t>산화 이온</t>
        </is>
      </c>
      <c r="D7" s="73" t="inlineStr">
        <is>
          <t>O²⁻</t>
        </is>
      </c>
      <c r="E7" s="23" t="inlineStr">
        <is>
          <t>O2-</t>
        </is>
      </c>
      <c r="F7" s="50" t="inlineStr">
        <is>
          <t>단원자 이온</t>
        </is>
      </c>
      <c r="G7" s="27" t="inlineStr">
        <is>
          <t>산소</t>
        </is>
      </c>
      <c r="H7" s="27" t="inlineStr">
        <is>
          <t>O</t>
        </is>
      </c>
      <c r="I7" s="27" t="n">
        <v>8</v>
      </c>
      <c r="J7" s="74" t="n">
        <v>-2</v>
      </c>
      <c r="K7" s="27">
        <f>ABS(J7)</f>
        <v/>
      </c>
      <c r="L7" s="27">
        <f>IF(I7="-","-",I7-J7)</f>
        <v/>
      </c>
      <c r="M7" s="27">
        <f>IF(J7&gt;0,"(−)극","(+)극")</f>
        <v/>
      </c>
      <c r="N7" s="26" t="inlineStr">
        <is>
          <t>핵심</t>
        </is>
      </c>
      <c r="O7" s="27" t="inlineStr">
        <is>
          <t>교과서</t>
        </is>
      </c>
      <c r="P7" s="28" t="inlineStr">
        <is>
          <t>155쪽 표 Ⅳ-1</t>
        </is>
      </c>
      <c r="Q7" s="52" t="inlineStr">
        <is>
          <t>'산소'는 '소'를 떼고 '산화 이온'이라 부름</t>
        </is>
      </c>
    </row>
    <row r="8" ht="21" customHeight="1">
      <c r="B8" s="23" t="n">
        <v>3</v>
      </c>
      <c r="C8" s="72" t="inlineStr">
        <is>
          <t>황화 이온</t>
        </is>
      </c>
      <c r="D8" s="73" t="inlineStr">
        <is>
          <t>S²⁻</t>
        </is>
      </c>
      <c r="E8" s="23" t="inlineStr">
        <is>
          <t>S2-</t>
        </is>
      </c>
      <c r="F8" s="50" t="inlineStr">
        <is>
          <t>단원자 이온</t>
        </is>
      </c>
      <c r="G8" s="27" t="inlineStr">
        <is>
          <t>황</t>
        </is>
      </c>
      <c r="H8" s="27" t="inlineStr">
        <is>
          <t>S</t>
        </is>
      </c>
      <c r="I8" s="27" t="n">
        <v>16</v>
      </c>
      <c r="J8" s="74" t="n">
        <v>-2</v>
      </c>
      <c r="K8" s="27">
        <f>ABS(J8)</f>
        <v/>
      </c>
      <c r="L8" s="27">
        <f>IF(I8="-","-",I8-J8)</f>
        <v/>
      </c>
      <c r="M8" s="27">
        <f>IF(J8&gt;0,"(−)극","(+)극")</f>
        <v/>
      </c>
      <c r="N8" s="26" t="inlineStr">
        <is>
          <t>핵심</t>
        </is>
      </c>
      <c r="O8" s="27" t="inlineStr">
        <is>
          <t>교과서</t>
        </is>
      </c>
      <c r="P8" s="28" t="inlineStr">
        <is>
          <t>155쪽 그림 Ⅳ-12</t>
        </is>
      </c>
      <c r="Q8" s="52" t="inlineStr">
        <is>
          <t>그림 Ⅳ-12 수록</t>
        </is>
      </c>
    </row>
    <row r="9" ht="21" customHeight="1">
      <c r="B9" s="23" t="n">
        <v>4</v>
      </c>
      <c r="C9" s="72" t="inlineStr">
        <is>
          <t>플루오린화 이온</t>
        </is>
      </c>
      <c r="D9" s="73" t="inlineStr">
        <is>
          <t>F⁻</t>
        </is>
      </c>
      <c r="E9" s="23" t="inlineStr">
        <is>
          <t>F-</t>
        </is>
      </c>
      <c r="F9" s="50" t="inlineStr">
        <is>
          <t>단원자 이온</t>
        </is>
      </c>
      <c r="G9" s="27" t="inlineStr">
        <is>
          <t>플루오린</t>
        </is>
      </c>
      <c r="H9" s="27" t="inlineStr">
        <is>
          <t>F</t>
        </is>
      </c>
      <c r="I9" s="27" t="n">
        <v>9</v>
      </c>
      <c r="J9" s="74" t="n">
        <v>-1</v>
      </c>
      <c r="K9" s="27">
        <f>ABS(J9)</f>
        <v/>
      </c>
      <c r="L9" s="27">
        <f>IF(I9="-","-",I9-J9)</f>
        <v/>
      </c>
      <c r="M9" s="27">
        <f>IF(J9&gt;0,"(−)극","(+)극")</f>
        <v/>
      </c>
      <c r="N9" s="26" t="inlineStr">
        <is>
          <t>핵심</t>
        </is>
      </c>
      <c r="O9" s="27" t="inlineStr">
        <is>
          <t>교과서</t>
        </is>
      </c>
      <c r="P9" s="28" t="inlineStr">
        <is>
          <t>154쪽 그림 Ⅳ-11</t>
        </is>
      </c>
      <c r="Q9" s="52" t="inlineStr">
        <is>
          <t>원소 이름 뒤에 '화 이온'을 붙임</t>
        </is>
      </c>
    </row>
    <row r="10" ht="21" customHeight="1">
      <c r="B10" s="53" t="n">
        <v>5</v>
      </c>
      <c r="C10" s="75" t="inlineStr">
        <is>
          <t>수산화 이온</t>
        </is>
      </c>
      <c r="D10" s="76" t="inlineStr">
        <is>
          <t>OH⁻</t>
        </is>
      </c>
      <c r="E10" s="53" t="inlineStr">
        <is>
          <t>OH-</t>
        </is>
      </c>
      <c r="F10" s="56" t="inlineStr">
        <is>
          <t>다원자 이온</t>
        </is>
      </c>
      <c r="G10" s="57" t="inlineStr">
        <is>
          <t>-</t>
        </is>
      </c>
      <c r="H10" s="57" t="inlineStr">
        <is>
          <t>-</t>
        </is>
      </c>
      <c r="I10" s="57" t="inlineStr">
        <is>
          <t>-</t>
        </is>
      </c>
      <c r="J10" s="77" t="n">
        <v>-1</v>
      </c>
      <c r="K10" s="57">
        <f>ABS(J10)</f>
        <v/>
      </c>
      <c r="L10" s="57">
        <f>IF(I10="-","-",I10-J10)</f>
        <v/>
      </c>
      <c r="M10" s="57">
        <f>IF(J10&gt;0,"(−)극","(+)극")</f>
        <v/>
      </c>
      <c r="N10" s="59" t="inlineStr">
        <is>
          <t>핵심</t>
        </is>
      </c>
      <c r="O10" s="57" t="inlineStr">
        <is>
          <t>교과서</t>
        </is>
      </c>
      <c r="P10" s="60" t="inlineStr">
        <is>
          <t>155쪽 본문</t>
        </is>
      </c>
      <c r="Q10" s="61" t="inlineStr">
        <is>
          <t>산소 1개와 수소 1개가 결합한 다원자 이온</t>
        </is>
      </c>
    </row>
    <row r="11" ht="21" customHeight="1">
      <c r="B11" s="53" t="n">
        <v>6</v>
      </c>
      <c r="C11" s="75" t="inlineStr">
        <is>
          <t>질산 이온</t>
        </is>
      </c>
      <c r="D11" s="76" t="inlineStr">
        <is>
          <t>NO₃⁻</t>
        </is>
      </c>
      <c r="E11" s="53" t="inlineStr">
        <is>
          <t>NO3-</t>
        </is>
      </c>
      <c r="F11" s="56" t="inlineStr">
        <is>
          <t>다원자 이온</t>
        </is>
      </c>
      <c r="G11" s="57" t="inlineStr">
        <is>
          <t>-</t>
        </is>
      </c>
      <c r="H11" s="57" t="inlineStr">
        <is>
          <t>-</t>
        </is>
      </c>
      <c r="I11" s="57" t="inlineStr">
        <is>
          <t>-</t>
        </is>
      </c>
      <c r="J11" s="77" t="n">
        <v>-1</v>
      </c>
      <c r="K11" s="57">
        <f>ABS(J11)</f>
        <v/>
      </c>
      <c r="L11" s="57">
        <f>IF(I11="-","-",I11-J11)</f>
        <v/>
      </c>
      <c r="M11" s="57">
        <f>IF(J11&gt;0,"(−)극","(+)극")</f>
        <v/>
      </c>
      <c r="N11" s="59" t="inlineStr">
        <is>
          <t>핵심</t>
        </is>
      </c>
      <c r="O11" s="57" t="inlineStr">
        <is>
          <t>교과서</t>
        </is>
      </c>
      <c r="P11" s="60" t="inlineStr">
        <is>
          <t>155쪽 표 Ⅳ-1</t>
        </is>
      </c>
      <c r="Q11" s="61" t="inlineStr">
        <is>
          <t>질소 1개와 산소 3개가 결합한 다원자 이온</t>
        </is>
      </c>
    </row>
    <row r="12" ht="21" customHeight="1">
      <c r="B12" s="53" t="n">
        <v>7</v>
      </c>
      <c r="C12" s="75" t="inlineStr">
        <is>
          <t>탄산 이온</t>
        </is>
      </c>
      <c r="D12" s="76" t="inlineStr">
        <is>
          <t>CO₃²⁻</t>
        </is>
      </c>
      <c r="E12" s="53" t="inlineStr">
        <is>
          <t>CO32-</t>
        </is>
      </c>
      <c r="F12" s="56" t="inlineStr">
        <is>
          <t>다원자 이온</t>
        </is>
      </c>
      <c r="G12" s="57" t="inlineStr">
        <is>
          <t>-</t>
        </is>
      </c>
      <c r="H12" s="57" t="inlineStr">
        <is>
          <t>-</t>
        </is>
      </c>
      <c r="I12" s="57" t="inlineStr">
        <is>
          <t>-</t>
        </is>
      </c>
      <c r="J12" s="77" t="n">
        <v>-2</v>
      </c>
      <c r="K12" s="57">
        <f>ABS(J12)</f>
        <v/>
      </c>
      <c r="L12" s="57">
        <f>IF(I12="-","-",I12-J12)</f>
        <v/>
      </c>
      <c r="M12" s="57">
        <f>IF(J12&gt;0,"(−)극","(+)극")</f>
        <v/>
      </c>
      <c r="N12" s="59" t="inlineStr">
        <is>
          <t>핵심</t>
        </is>
      </c>
      <c r="O12" s="57" t="inlineStr">
        <is>
          <t>교과서</t>
        </is>
      </c>
      <c r="P12" s="60" t="inlineStr">
        <is>
          <t>155쪽 표 Ⅳ-1</t>
        </is>
      </c>
      <c r="Q12" s="61" t="inlineStr">
        <is>
          <t>탄소 1개와 산소 3개가 결합한 다원자 이온</t>
        </is>
      </c>
    </row>
    <row r="13" ht="21" customHeight="1">
      <c r="B13" s="53" t="n">
        <v>8</v>
      </c>
      <c r="C13" s="75" t="inlineStr">
        <is>
          <t>황산 이온</t>
        </is>
      </c>
      <c r="D13" s="76" t="inlineStr">
        <is>
          <t>SO₄²⁻</t>
        </is>
      </c>
      <c r="E13" s="53" t="inlineStr">
        <is>
          <t>SO42-</t>
        </is>
      </c>
      <c r="F13" s="56" t="inlineStr">
        <is>
          <t>다원자 이온</t>
        </is>
      </c>
      <c r="G13" s="57" t="inlineStr">
        <is>
          <t>-</t>
        </is>
      </c>
      <c r="H13" s="57" t="inlineStr">
        <is>
          <t>-</t>
        </is>
      </c>
      <c r="I13" s="57" t="inlineStr">
        <is>
          <t>-</t>
        </is>
      </c>
      <c r="J13" s="77" t="n">
        <v>-2</v>
      </c>
      <c r="K13" s="57">
        <f>ABS(J13)</f>
        <v/>
      </c>
      <c r="L13" s="57">
        <f>IF(I13="-","-",I13-J13)</f>
        <v/>
      </c>
      <c r="M13" s="57">
        <f>IF(J13&gt;0,"(−)극","(+)극")</f>
        <v/>
      </c>
      <c r="N13" s="59" t="inlineStr">
        <is>
          <t>핵심</t>
        </is>
      </c>
      <c r="O13" s="57" t="inlineStr">
        <is>
          <t>교과서</t>
        </is>
      </c>
      <c r="P13" s="60" t="inlineStr">
        <is>
          <t>157쪽 그림 Ⅳ-13</t>
        </is>
      </c>
      <c r="Q13" s="61" t="inlineStr">
        <is>
          <t>황산 구리(Ⅱ) 수용액에 들어 있음</t>
        </is>
      </c>
    </row>
    <row r="14" ht="21" customHeight="1">
      <c r="B14" s="53" t="n">
        <v>9</v>
      </c>
      <c r="C14" s="75" t="inlineStr">
        <is>
          <t>과망가니즈산 이온</t>
        </is>
      </c>
      <c r="D14" s="76" t="inlineStr">
        <is>
          <t>MnO₄⁻</t>
        </is>
      </c>
      <c r="E14" s="53" t="inlineStr">
        <is>
          <t>MnO4-</t>
        </is>
      </c>
      <c r="F14" s="56" t="inlineStr">
        <is>
          <t>다원자 이온</t>
        </is>
      </c>
      <c r="G14" s="57" t="inlineStr">
        <is>
          <t>-</t>
        </is>
      </c>
      <c r="H14" s="57" t="inlineStr">
        <is>
          <t>-</t>
        </is>
      </c>
      <c r="I14" s="57" t="inlineStr">
        <is>
          <t>-</t>
        </is>
      </c>
      <c r="J14" s="77" t="n">
        <v>-1</v>
      </c>
      <c r="K14" s="57">
        <f>ABS(J14)</f>
        <v/>
      </c>
      <c r="L14" s="57">
        <f>IF(I14="-","-",I14-J14)</f>
        <v/>
      </c>
      <c r="M14" s="57">
        <f>IF(J14&gt;0,"(−)극","(+)극")</f>
        <v/>
      </c>
      <c r="N14" s="59" t="inlineStr">
        <is>
          <t>핵심</t>
        </is>
      </c>
      <c r="O14" s="57" t="inlineStr">
        <is>
          <t>교과서</t>
        </is>
      </c>
      <c r="P14" s="60" t="inlineStr">
        <is>
          <t>155쪽 표 Ⅳ-1</t>
        </is>
      </c>
      <c r="Q14" s="61" t="inlineStr">
        <is>
          <t>과망가니즈산 칼륨 수용액에 들어 있음(보라색)</t>
        </is>
      </c>
    </row>
    <row r="15" ht="21" customHeight="1">
      <c r="B15" s="33" t="n">
        <v>10</v>
      </c>
      <c r="C15" s="78" t="inlineStr">
        <is>
          <t>브로민화 이온</t>
        </is>
      </c>
      <c r="D15" s="79" t="inlineStr">
        <is>
          <t>Br⁻</t>
        </is>
      </c>
      <c r="E15" s="33" t="inlineStr">
        <is>
          <t>Br-</t>
        </is>
      </c>
      <c r="F15" s="64" t="inlineStr">
        <is>
          <t>단원자 이온</t>
        </is>
      </c>
      <c r="G15" s="7" t="inlineStr">
        <is>
          <t>브로민</t>
        </is>
      </c>
      <c r="H15" s="7" t="inlineStr">
        <is>
          <t>Br</t>
        </is>
      </c>
      <c r="I15" s="7" t="n">
        <v>35</v>
      </c>
      <c r="J15" s="80" t="n">
        <v>-1</v>
      </c>
      <c r="K15" s="7">
        <f>ABS(J15)</f>
        <v/>
      </c>
      <c r="L15" s="7">
        <f>IF(I15="-","-",I15-J15)</f>
        <v/>
      </c>
      <c r="M15" s="7">
        <f>IF(J15&gt;0,"(−)극","(+)극")</f>
        <v/>
      </c>
      <c r="N15" s="35" t="inlineStr">
        <is>
          <t>확장</t>
        </is>
      </c>
      <c r="O15" s="33" t="inlineStr">
        <is>
          <t>추가</t>
        </is>
      </c>
      <c r="P15" s="36" t="inlineStr">
        <is>
          <t>–</t>
        </is>
      </c>
      <c r="Q15" s="66" t="inlineStr">
        <is>
          <t>원소 이름 뒤에 '화 이온'을 붙임</t>
        </is>
      </c>
    </row>
    <row r="16" ht="21" customHeight="1">
      <c r="B16" s="29" t="n">
        <v>11</v>
      </c>
      <c r="C16" s="81" t="inlineStr">
        <is>
          <t>아이오딘화 이온</t>
        </is>
      </c>
      <c r="D16" s="82" t="inlineStr">
        <is>
          <t>I⁻</t>
        </is>
      </c>
      <c r="E16" s="29" t="inlineStr">
        <is>
          <t>I-</t>
        </is>
      </c>
      <c r="F16" s="69" t="inlineStr">
        <is>
          <t>단원자 이온</t>
        </is>
      </c>
      <c r="G16" s="11" t="inlineStr">
        <is>
          <t>아이오딘</t>
        </is>
      </c>
      <c r="H16" s="11" t="inlineStr">
        <is>
          <t>I</t>
        </is>
      </c>
      <c r="I16" s="11" t="n">
        <v>53</v>
      </c>
      <c r="J16" s="83" t="n">
        <v>-1</v>
      </c>
      <c r="K16" s="11">
        <f>ABS(J16)</f>
        <v/>
      </c>
      <c r="L16" s="11">
        <f>IF(I16="-","-",I16-J16)</f>
        <v/>
      </c>
      <c r="M16" s="11">
        <f>IF(J16&gt;0,"(−)극","(+)극")</f>
        <v/>
      </c>
      <c r="N16" s="31" t="inlineStr">
        <is>
          <t>확장</t>
        </is>
      </c>
      <c r="O16" s="29" t="inlineStr">
        <is>
          <t>추가</t>
        </is>
      </c>
      <c r="P16" s="32" t="inlineStr">
        <is>
          <t>–</t>
        </is>
      </c>
      <c r="Q16" s="71" t="inlineStr">
        <is>
          <t>원소 이름 뒤에 '화 이온'을 붙임</t>
        </is>
      </c>
    </row>
    <row r="18" ht="18" customHeight="1">
      <c r="B18" s="20" t="inlineStr">
        <is>
          <t>※ 연노란색 = 학습 핵심 이온(학습 사이트 '교과서·학습 핵심만' 범위 · 학습지 수록). 154쪽 그림 Ⅳ-11, 155쪽 그림 Ⅳ-12·표 Ⅳ-1, 157쪽 그림 Ⅳ-13에서 확인했습니다.</t>
        </is>
      </c>
    </row>
    <row r="19" ht="18" customHeight="1">
      <c r="B19" s="20" t="inlineStr">
        <is>
          <t>※ 연보라색 행 = 다원자 이온(여러 원자가 결합한 이온). 원자 번호가 하나로 정해지지 않으므로 '-'로 표시했습니다. 양이온은 파란 글자, 음이온은 빨간 글자입니다.</t>
        </is>
      </c>
    </row>
    <row r="20" ht="18" customHeight="1">
      <c r="B20" s="20" t="inlineStr">
        <is>
          <t>※ '잃거나 얻은 전자 수', '이온의 전자 수', '이동하는 극'은 수식입니다. 원자 번호나 전하를 바꾸면 자동으로 다시 계산됩니다.</t>
        </is>
      </c>
    </row>
    <row r="21" ht="18" customHeight="1">
      <c r="B21" s="20" t="inlineStr">
        <is>
          <t>※ '입력용 표기'는 학습 사이트에서 답을 칠 때 쓰는 형태입니다. 맨 끝의 숫자와 부호는 자동으로 위첨자(전하)가 됩니다. 예) Cu2+ → Cu²⁺, SO42- → SO₄²⁻</t>
        </is>
      </c>
    </row>
  </sheetData>
  <mergeCells count="6">
    <mergeCell ref="B20:Q20"/>
    <mergeCell ref="B18:Q18"/>
    <mergeCell ref="B21:Q21"/>
    <mergeCell ref="B2:Q2"/>
    <mergeCell ref="B3:Q3"/>
    <mergeCell ref="B19:Q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A3FB0"/>
    <outlinePr summaryBelow="1" summaryRight="1"/>
    <pageSetUpPr/>
  </sheetPr>
  <dimension ref="B2:E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7" customWidth="1" min="2" max="2"/>
    <col width="52" customWidth="1" min="3" max="3"/>
    <col width="52" customWidth="1" min="4" max="4"/>
    <col width="26" customWidth="1" min="5" max="5"/>
  </cols>
  <sheetData>
    <row r="1" ht="8" customHeight="1"/>
    <row r="2" ht="30" customHeight="1">
      <c r="B2" s="21" t="inlineStr">
        <is>
          <t>이온 이름 규칙</t>
        </is>
      </c>
    </row>
    <row r="3" ht="18" customHeight="1">
      <c r="B3" s="22" t="inlineStr">
        <is>
          <t>이온 이름을 붙이는 규칙과 예시 · 잘못된 표기</t>
        </is>
      </c>
    </row>
    <row r="4" ht="6" customHeight="1"/>
    <row r="5" ht="30" customHeight="1">
      <c r="B5" s="5" t="inlineStr">
        <is>
          <t>번호</t>
        </is>
      </c>
      <c r="C5" s="5" t="inlineStr">
        <is>
          <t>규칙</t>
        </is>
      </c>
      <c r="D5" s="5" t="inlineStr">
        <is>
          <t>예시</t>
        </is>
      </c>
      <c r="E5" s="5" t="inlineStr">
        <is>
          <t>잘못된 표기</t>
        </is>
      </c>
    </row>
    <row r="6" ht="26" customHeight="1">
      <c r="B6" s="29" t="n">
        <v>1</v>
      </c>
      <c r="C6" s="84" t="inlineStr">
        <is>
          <t>양이온은 원소 이름 뒤에 '~ 이온'을 붙인다.</t>
        </is>
      </c>
      <c r="D6" s="85" t="inlineStr">
        <is>
          <t>나트륨 → 나트륨 이온(Na⁺) / 구리 → 구리 이온(Cu²⁺)</t>
        </is>
      </c>
      <c r="E6" s="86" t="inlineStr">
        <is>
          <t>나트륨화 이온</t>
        </is>
      </c>
    </row>
    <row r="7" ht="26" customHeight="1">
      <c r="B7" s="33" t="n">
        <v>2</v>
      </c>
      <c r="C7" s="87" t="inlineStr">
        <is>
          <t>음이온은 원소 이름 뒤에 '~화 이온'을 붙인다.</t>
        </is>
      </c>
      <c r="D7" s="88" t="inlineStr">
        <is>
          <t>황 → 황화 이온(S²⁻) / 플루오린 → 플루오린화 이온(F⁻)</t>
        </is>
      </c>
      <c r="E7" s="89" t="inlineStr">
        <is>
          <t>황 이온</t>
        </is>
      </c>
    </row>
    <row r="8" ht="26" customHeight="1">
      <c r="B8" s="29" t="n">
        <v>3</v>
      </c>
      <c r="C8" s="84" t="inlineStr">
        <is>
          <t>원소 이름이 '소'로 끝나면 '소'를 떼고 '~화 이온'을 붙인다.</t>
        </is>
      </c>
      <c r="D8" s="85" t="inlineStr">
        <is>
          <t>염소 → 염화 이온(Cl⁻) / 산소 → 산화 이온(O²⁻)</t>
        </is>
      </c>
      <c r="E8" s="86" t="inlineStr">
        <is>
          <t>염소화 이온, 산소화 이온</t>
        </is>
      </c>
    </row>
    <row r="9" ht="26" customHeight="1">
      <c r="B9" s="33" t="n">
        <v>4</v>
      </c>
      <c r="C9" s="87" t="inlineStr">
        <is>
          <t>잃거나 얻은 전자가 1개일 때는 숫자 1을 생략한다.</t>
        </is>
      </c>
      <c r="D9" s="88" t="inlineStr">
        <is>
          <t>Na⁺, Cl⁻</t>
        </is>
      </c>
      <c r="E9" s="89" t="inlineStr">
        <is>
          <t>Na¹⁺, Cl¹⁻</t>
        </is>
      </c>
    </row>
    <row r="10" ht="26" customHeight="1">
      <c r="B10" s="29" t="n">
        <v>5</v>
      </c>
      <c r="C10" s="84" t="inlineStr">
        <is>
          <t>숫자는 전하의 종류 기호 앞에 쓴다.</t>
        </is>
      </c>
      <c r="D10" s="85" t="inlineStr">
        <is>
          <t>Cu²⁺, O²⁻</t>
        </is>
      </c>
      <c r="E10" s="86" t="inlineStr">
        <is>
          <t>Cu⁺², O⁻²</t>
        </is>
      </c>
    </row>
    <row r="11" ht="26" customHeight="1">
      <c r="B11" s="33" t="n">
        <v>6</v>
      </c>
      <c r="C11" s="87" t="inlineStr">
        <is>
          <t>여러 원자가 결합한 다원자 이온은 고유한 이름을 그대로 쓴다.</t>
        </is>
      </c>
      <c r="D11" s="88" t="inlineStr">
        <is>
          <t>NH₄⁺ 암모늄 이온 / OH⁻ 수산화 이온 / NO₃⁻ 질산 이온</t>
        </is>
      </c>
      <c r="E11" s="89" t="inlineStr">
        <is>
          <t>질소수소 이온</t>
        </is>
      </c>
    </row>
    <row r="12" ht="26" customHeight="1">
      <c r="B12" s="29" t="n">
        <v>7</v>
      </c>
      <c r="C12" s="84" t="inlineStr">
        <is>
          <t>이온이 되어도 양성자 수는 변하지 않으므로 원소의 종류도 그대로다.</t>
        </is>
      </c>
      <c r="D12" s="85" t="inlineStr">
        <is>
          <t>Na(양성자 11개) → Na⁺(양성자 11개)</t>
        </is>
      </c>
      <c r="E12" s="86" t="inlineStr">
        <is>
          <t>이온이 되면 다른 원소가 된다</t>
        </is>
      </c>
    </row>
    <row r="13" ht="26" customHeight="1">
      <c r="B13" s="33" t="n">
        <v>8</v>
      </c>
      <c r="C13" s="87" t="inlineStr">
        <is>
          <t>전류를 흘리면 양이온은 (−)극, 음이온은 (+)극으로 이동한다.</t>
        </is>
      </c>
      <c r="D13" s="88" t="inlineStr">
        <is>
          <t>Cu²⁺ → (−)극 / MnO₄⁻ → (+)극</t>
        </is>
      </c>
      <c r="E13" s="89" t="inlineStr">
        <is>
          <t>양이온이 (+)극으로 이동한다</t>
        </is>
      </c>
    </row>
    <row r="15" ht="18" customHeight="1">
      <c r="B15" s="20" t="inlineStr">
        <is>
          <t>※ 1~6번 규칙은 교과서 155쪽 그림 Ⅳ-12와 본문, 8번은 157쪽 그림 Ⅳ-13의 내용을 정리한 것입니다.</t>
        </is>
      </c>
    </row>
    <row r="16" ht="18" customHeight="1">
      <c r="B16" s="20" t="inlineStr">
        <is>
          <t>※ '잘못된 표기'는 학생들이 자주 틀리는 형태입니다. 규칙과 나란히 놓고 비교해 보세요.</t>
        </is>
      </c>
    </row>
  </sheetData>
  <mergeCells count="4">
    <mergeCell ref="B15:E15"/>
    <mergeCell ref="B3:E3"/>
    <mergeCell ref="B2:E2"/>
    <mergeCell ref="B16:E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65A64"/>
    <outlinePr summaryBelow="1" summaryRight="1"/>
    <pageSetUpPr/>
  </sheetPr>
  <dimension ref="B2:N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6" customWidth="1" min="2" max="2"/>
    <col width="20" customWidth="1" min="3" max="3"/>
    <col width="11" customWidth="1" min="4" max="4"/>
    <col width="11" customWidth="1" min="5" max="5"/>
    <col width="10" customWidth="1" min="6" max="6"/>
    <col width="12" customWidth="1" min="7" max="7"/>
    <col width="11" customWidth="1" min="8" max="8"/>
    <col width="10" customWidth="1" min="9" max="9"/>
    <col width="9" customWidth="1" min="10" max="10"/>
    <col width="9" customWidth="1" min="11" max="11"/>
    <col width="13" customWidth="1" min="12" max="12"/>
    <col width="13" customWidth="1" min="13" max="13"/>
    <col width="40" customWidth="1" min="14" max="14"/>
  </cols>
  <sheetData>
    <row r="1" ht="8" customHeight="1"/>
    <row r="2" ht="30" customHeight="1">
      <c r="B2" s="21" t="inlineStr">
        <is>
          <t>이온 결합 화합물</t>
        </is>
      </c>
    </row>
    <row r="3" ht="18" customHeight="1">
      <c r="B3" s="22" t="inlineStr">
        <is>
          <t>양이온과 음이온의 전체 전하 합이 0이 되는 가장 간단한 정수비 · 11종 (모두 학습 핵심) · 초록 = 개수비 1 : 1, 주황 = 개수비 다름</t>
        </is>
      </c>
    </row>
    <row r="4" ht="6" customHeight="1"/>
    <row r="5" ht="30" customHeight="1">
      <c r="B5" s="5" t="inlineStr">
        <is>
          <t>번호</t>
        </is>
      </c>
      <c r="C5" s="5" t="inlineStr">
        <is>
          <t>화합물 이름</t>
        </is>
      </c>
      <c r="D5" s="5" t="inlineStr">
        <is>
          <t>양이온</t>
        </is>
      </c>
      <c r="E5" s="5" t="inlineStr">
        <is>
          <t>양이온 전하</t>
        </is>
      </c>
      <c r="F5" s="5" t="inlineStr">
        <is>
          <t>양이온 수</t>
        </is>
      </c>
      <c r="G5" s="5" t="inlineStr">
        <is>
          <t>음이온</t>
        </is>
      </c>
      <c r="H5" s="5" t="inlineStr">
        <is>
          <t>음이온 전하</t>
        </is>
      </c>
      <c r="I5" s="5" t="inlineStr">
        <is>
          <t>음이온 수</t>
        </is>
      </c>
      <c r="J5" s="5" t="inlineStr">
        <is>
          <t>개수비</t>
        </is>
      </c>
      <c r="K5" s="5" t="inlineStr">
        <is>
          <t>전하 합</t>
        </is>
      </c>
      <c r="L5" s="5" t="inlineStr">
        <is>
          <t>화학식</t>
        </is>
      </c>
      <c r="M5" s="5" t="inlineStr">
        <is>
          <t>입력용 표기</t>
        </is>
      </c>
      <c r="N5" s="5" t="inlineStr">
        <is>
          <t>학습 메모</t>
        </is>
      </c>
    </row>
    <row r="6" ht="22" customHeight="1">
      <c r="B6" s="23" t="n">
        <v>1</v>
      </c>
      <c r="C6" s="90" t="inlineStr">
        <is>
          <t>염화 나트륨</t>
        </is>
      </c>
      <c r="D6" s="91" t="inlineStr">
        <is>
          <t>Na⁺</t>
        </is>
      </c>
      <c r="E6" s="92" t="n">
        <v>1</v>
      </c>
      <c r="F6" s="27" t="n">
        <v>1</v>
      </c>
      <c r="G6" s="93" t="inlineStr">
        <is>
          <t>Cl⁻</t>
        </is>
      </c>
      <c r="H6" s="92" t="n">
        <v>-1</v>
      </c>
      <c r="I6" s="27" t="n">
        <v>1</v>
      </c>
      <c r="J6" s="90" t="inlineStr">
        <is>
          <t>1 : 1</t>
        </is>
      </c>
      <c r="K6" s="40">
        <f>E6*F6+H6*I6</f>
        <v/>
      </c>
      <c r="L6" s="94" t="inlineStr">
        <is>
          <t>NaCl</t>
        </is>
      </c>
      <c r="M6" s="23" t="inlineStr">
        <is>
          <t>NaCl</t>
        </is>
      </c>
      <c r="N6" s="52" t="inlineStr">
        <is>
          <t>교과서 141쪽 · 가장 기본적인 이온 결합 화합물</t>
        </is>
      </c>
    </row>
    <row r="7" ht="22" customHeight="1">
      <c r="B7" s="23" t="n">
        <v>2</v>
      </c>
      <c r="C7" s="90" t="inlineStr">
        <is>
          <t>염화 칼륨</t>
        </is>
      </c>
      <c r="D7" s="91" t="inlineStr">
        <is>
          <t>K⁺</t>
        </is>
      </c>
      <c r="E7" s="92" t="n">
        <v>1</v>
      </c>
      <c r="F7" s="27" t="n">
        <v>1</v>
      </c>
      <c r="G7" s="93" t="inlineStr">
        <is>
          <t>Cl⁻</t>
        </is>
      </c>
      <c r="H7" s="92" t="n">
        <v>-1</v>
      </c>
      <c r="I7" s="27" t="n">
        <v>1</v>
      </c>
      <c r="J7" s="90" t="inlineStr">
        <is>
          <t>1 : 1</t>
        </is>
      </c>
      <c r="K7" s="40">
        <f>E7*F7+H7*I7</f>
        <v/>
      </c>
      <c r="L7" s="94" t="inlineStr">
        <is>
          <t>KCl</t>
        </is>
      </c>
      <c r="M7" s="23" t="inlineStr">
        <is>
          <t>KCl</t>
        </is>
      </c>
      <c r="N7" s="52" t="inlineStr">
        <is>
          <t>가장 간단한 1 : 1</t>
        </is>
      </c>
    </row>
    <row r="8" ht="22" customHeight="1">
      <c r="B8" s="23" t="n">
        <v>3</v>
      </c>
      <c r="C8" s="95" t="inlineStr">
        <is>
          <t>염화 마그네슘</t>
        </is>
      </c>
      <c r="D8" s="91" t="inlineStr">
        <is>
          <t>Mg²⁺</t>
        </is>
      </c>
      <c r="E8" s="92" t="n">
        <v>2</v>
      </c>
      <c r="F8" s="27" t="n">
        <v>1</v>
      </c>
      <c r="G8" s="93" t="inlineStr">
        <is>
          <t>Cl⁻</t>
        </is>
      </c>
      <c r="H8" s="92" t="n">
        <v>-1</v>
      </c>
      <c r="I8" s="27" t="n">
        <v>2</v>
      </c>
      <c r="J8" s="95" t="inlineStr">
        <is>
          <t>1 : 2</t>
        </is>
      </c>
      <c r="K8" s="40">
        <f>E8*F8+H8*I8</f>
        <v/>
      </c>
      <c r="L8" s="96" t="inlineStr">
        <is>
          <t>MgCl₂</t>
        </is>
      </c>
      <c r="M8" s="23" t="inlineStr">
        <is>
          <t>MgCl2</t>
        </is>
      </c>
      <c r="N8" s="52" t="inlineStr">
        <is>
          <t>음이온이 2개</t>
        </is>
      </c>
    </row>
    <row r="9" ht="22" customHeight="1">
      <c r="B9" s="23" t="n">
        <v>4</v>
      </c>
      <c r="C9" s="95" t="inlineStr">
        <is>
          <t>황산 나트륨</t>
        </is>
      </c>
      <c r="D9" s="91" t="inlineStr">
        <is>
          <t>Na⁺</t>
        </is>
      </c>
      <c r="E9" s="92" t="n">
        <v>1</v>
      </c>
      <c r="F9" s="27" t="n">
        <v>2</v>
      </c>
      <c r="G9" s="93" t="inlineStr">
        <is>
          <t>SO₄²⁻</t>
        </is>
      </c>
      <c r="H9" s="92" t="n">
        <v>-2</v>
      </c>
      <c r="I9" s="27" t="n">
        <v>1</v>
      </c>
      <c r="J9" s="95" t="inlineStr">
        <is>
          <t>2 : 1</t>
        </is>
      </c>
      <c r="K9" s="40">
        <f>E9*F9+H9*I9</f>
        <v/>
      </c>
      <c r="L9" s="96" t="inlineStr">
        <is>
          <t>Na₂SO₄</t>
        </is>
      </c>
      <c r="M9" s="23" t="inlineStr">
        <is>
          <t>Na2SO4</t>
        </is>
      </c>
      <c r="N9" s="52" t="inlineStr">
        <is>
          <t>양이온이 2개</t>
        </is>
      </c>
    </row>
    <row r="10" ht="22" customHeight="1">
      <c r="B10" s="23" t="n">
        <v>5</v>
      </c>
      <c r="C10" s="90" t="inlineStr">
        <is>
          <t>수산화 나트륨</t>
        </is>
      </c>
      <c r="D10" s="91" t="inlineStr">
        <is>
          <t>Na⁺</t>
        </is>
      </c>
      <c r="E10" s="92" t="n">
        <v>1</v>
      </c>
      <c r="F10" s="27" t="n">
        <v>1</v>
      </c>
      <c r="G10" s="93" t="inlineStr">
        <is>
          <t>OH⁻</t>
        </is>
      </c>
      <c r="H10" s="92" t="n">
        <v>-1</v>
      </c>
      <c r="I10" s="27" t="n">
        <v>1</v>
      </c>
      <c r="J10" s="90" t="inlineStr">
        <is>
          <t>1 : 1</t>
        </is>
      </c>
      <c r="K10" s="40">
        <f>E10*F10+H10*I10</f>
        <v/>
      </c>
      <c r="L10" s="94" t="inlineStr">
        <is>
          <t>NaOH</t>
        </is>
      </c>
      <c r="M10" s="23" t="inlineStr">
        <is>
          <t>NaOH</t>
        </is>
      </c>
      <c r="N10" s="52" t="inlineStr">
        <is>
          <t>다원자 이온이 1개이면 괄호 없이 씀</t>
        </is>
      </c>
    </row>
    <row r="11" ht="22" customHeight="1">
      <c r="B11" s="23" t="n">
        <v>6</v>
      </c>
      <c r="C11" s="90" t="inlineStr">
        <is>
          <t>탄산 칼슘</t>
        </is>
      </c>
      <c r="D11" s="91" t="inlineStr">
        <is>
          <t>Ca²⁺</t>
        </is>
      </c>
      <c r="E11" s="92" t="n">
        <v>2</v>
      </c>
      <c r="F11" s="27" t="n">
        <v>1</v>
      </c>
      <c r="G11" s="93" t="inlineStr">
        <is>
          <t>CO₃²⁻</t>
        </is>
      </c>
      <c r="H11" s="92" t="n">
        <v>-2</v>
      </c>
      <c r="I11" s="27" t="n">
        <v>1</v>
      </c>
      <c r="J11" s="90" t="inlineStr">
        <is>
          <t>1 : 1</t>
        </is>
      </c>
      <c r="K11" s="40">
        <f>E11*F11+H11*I11</f>
        <v/>
      </c>
      <c r="L11" s="94" t="inlineStr">
        <is>
          <t>CaCO₃</t>
        </is>
      </c>
      <c r="M11" s="23" t="inlineStr">
        <is>
          <t>CaCO3</t>
        </is>
      </c>
      <c r="N11" s="52" t="inlineStr">
        <is>
          <t>전하의 크기가 같음</t>
        </is>
      </c>
    </row>
    <row r="12" ht="22" customHeight="1">
      <c r="B12" s="23" t="n">
        <v>7</v>
      </c>
      <c r="C12" s="95" t="inlineStr">
        <is>
          <t>염화 구리(Ⅱ)</t>
        </is>
      </c>
      <c r="D12" s="91" t="inlineStr">
        <is>
          <t>Cu²⁺</t>
        </is>
      </c>
      <c r="E12" s="92" t="n">
        <v>2</v>
      </c>
      <c r="F12" s="27" t="n">
        <v>1</v>
      </c>
      <c r="G12" s="93" t="inlineStr">
        <is>
          <t>Cl⁻</t>
        </is>
      </c>
      <c r="H12" s="92" t="n">
        <v>-1</v>
      </c>
      <c r="I12" s="27" t="n">
        <v>2</v>
      </c>
      <c r="J12" s="95" t="inlineStr">
        <is>
          <t>1 : 2</t>
        </is>
      </c>
      <c r="K12" s="40">
        <f>E12*F12+H12*I12</f>
        <v/>
      </c>
      <c r="L12" s="96" t="inlineStr">
        <is>
          <t>CuCl₂</t>
        </is>
      </c>
      <c r="M12" s="23" t="inlineStr">
        <is>
          <t>CuCl2</t>
        </is>
      </c>
      <c r="N12" s="52" t="inlineStr">
        <is>
          <t>염화 이온이 2개</t>
        </is>
      </c>
    </row>
    <row r="13" ht="22" customHeight="1">
      <c r="B13" s="23" t="n">
        <v>8</v>
      </c>
      <c r="C13" s="95" t="inlineStr">
        <is>
          <t>수산화 칼슘</t>
        </is>
      </c>
      <c r="D13" s="91" t="inlineStr">
        <is>
          <t>Ca²⁺</t>
        </is>
      </c>
      <c r="E13" s="92" t="n">
        <v>2</v>
      </c>
      <c r="F13" s="27" t="n">
        <v>1</v>
      </c>
      <c r="G13" s="93" t="inlineStr">
        <is>
          <t>OH⁻</t>
        </is>
      </c>
      <c r="H13" s="92" t="n">
        <v>-1</v>
      </c>
      <c r="I13" s="27" t="n">
        <v>2</v>
      </c>
      <c r="J13" s="95" t="inlineStr">
        <is>
          <t>1 : 2</t>
        </is>
      </c>
      <c r="K13" s="40">
        <f>E13*F13+H13*I13</f>
        <v/>
      </c>
      <c r="L13" s="96" t="inlineStr">
        <is>
          <t>Ca(OH)₂</t>
        </is>
      </c>
      <c r="M13" s="23" t="inlineStr">
        <is>
          <t>Ca(OH)2</t>
        </is>
      </c>
      <c r="N13" s="52" t="inlineStr">
        <is>
          <t>다원자 이온이 2개이므로 괄호 사용</t>
        </is>
      </c>
    </row>
    <row r="14" ht="22" customHeight="1">
      <c r="B14" s="23" t="n">
        <v>9</v>
      </c>
      <c r="C14" s="90" t="inlineStr">
        <is>
          <t>과망가니즈산 칼륨</t>
        </is>
      </c>
      <c r="D14" s="91" t="inlineStr">
        <is>
          <t>K⁺</t>
        </is>
      </c>
      <c r="E14" s="92" t="n">
        <v>1</v>
      </c>
      <c r="F14" s="27" t="n">
        <v>1</v>
      </c>
      <c r="G14" s="93" t="inlineStr">
        <is>
          <t>MnO₄⁻</t>
        </is>
      </c>
      <c r="H14" s="92" t="n">
        <v>-1</v>
      </c>
      <c r="I14" s="27" t="n">
        <v>1</v>
      </c>
      <c r="J14" s="90" t="inlineStr">
        <is>
          <t>1 : 1</t>
        </is>
      </c>
      <c r="K14" s="40">
        <f>E14*F14+H14*I14</f>
        <v/>
      </c>
      <c r="L14" s="94" t="inlineStr">
        <is>
          <t>KMnO₄</t>
        </is>
      </c>
      <c r="M14" s="23" t="inlineStr">
        <is>
          <t>KMnO4</t>
        </is>
      </c>
      <c r="N14" s="52" t="inlineStr">
        <is>
          <t>MnO₄⁻는 과망가니즈산 이온</t>
        </is>
      </c>
    </row>
    <row r="15" ht="22" customHeight="1">
      <c r="B15" s="23" t="n">
        <v>10</v>
      </c>
      <c r="C15" s="90" t="inlineStr">
        <is>
          <t>질산 칼륨</t>
        </is>
      </c>
      <c r="D15" s="91" t="inlineStr">
        <is>
          <t>K⁺</t>
        </is>
      </c>
      <c r="E15" s="92" t="n">
        <v>1</v>
      </c>
      <c r="F15" s="27" t="n">
        <v>1</v>
      </c>
      <c r="G15" s="93" t="inlineStr">
        <is>
          <t>NO₃⁻</t>
        </is>
      </c>
      <c r="H15" s="92" t="n">
        <v>-1</v>
      </c>
      <c r="I15" s="27" t="n">
        <v>1</v>
      </c>
      <c r="J15" s="90" t="inlineStr">
        <is>
          <t>1 : 1</t>
        </is>
      </c>
      <c r="K15" s="40">
        <f>E15*F15+H15*I15</f>
        <v/>
      </c>
      <c r="L15" s="94" t="inlineStr">
        <is>
          <t>KNO₃</t>
        </is>
      </c>
      <c r="M15" s="23" t="inlineStr">
        <is>
          <t>KNO3</t>
        </is>
      </c>
      <c r="N15" s="52" t="inlineStr">
        <is>
          <t>질산 이온은 NO₃⁻</t>
        </is>
      </c>
    </row>
    <row r="16" ht="22" customHeight="1">
      <c r="B16" s="23" t="n">
        <v>11</v>
      </c>
      <c r="C16" s="90" t="inlineStr">
        <is>
          <t>황산 구리</t>
        </is>
      </c>
      <c r="D16" s="91" t="inlineStr">
        <is>
          <t>Cu²⁺</t>
        </is>
      </c>
      <c r="E16" s="92" t="n">
        <v>2</v>
      </c>
      <c r="F16" s="27" t="n">
        <v>1</v>
      </c>
      <c r="G16" s="93" t="inlineStr">
        <is>
          <t>SO₄²⁻</t>
        </is>
      </c>
      <c r="H16" s="92" t="n">
        <v>-2</v>
      </c>
      <c r="I16" s="27" t="n">
        <v>1</v>
      </c>
      <c r="J16" s="90" t="inlineStr">
        <is>
          <t>1 : 1</t>
        </is>
      </c>
      <c r="K16" s="40">
        <f>E16*F16+H16*I16</f>
        <v/>
      </c>
      <c r="L16" s="94" t="inlineStr">
        <is>
          <t>CuSO₄</t>
        </is>
      </c>
      <c r="M16" s="23" t="inlineStr">
        <is>
          <t>CuSO4</t>
        </is>
      </c>
      <c r="N16" s="52" t="inlineStr">
        <is>
          <t>중학교에서는 '황산 구리(Ⅱ)'로도 표기</t>
        </is>
      </c>
    </row>
    <row r="18">
      <c r="B18" s="97" t="inlineStr">
        <is>
          <t>화학식 만드는 순서</t>
        </is>
      </c>
    </row>
    <row r="19" ht="20" customHeight="1">
      <c r="B19" s="98" t="inlineStr">
        <is>
          <t>1</t>
        </is>
      </c>
      <c r="C19" s="99" t="inlineStr">
        <is>
          <t>전하 확인</t>
        </is>
      </c>
      <c r="D19" s="100" t="inlineStr">
        <is>
          <t>양이온과 음이온의 전하를 확인합니다.</t>
        </is>
      </c>
    </row>
    <row r="20" ht="20" customHeight="1">
      <c r="B20" s="98" t="inlineStr">
        <is>
          <t>2</t>
        </is>
      </c>
      <c r="C20" s="99" t="inlineStr">
        <is>
          <t>최소 정수비</t>
        </is>
      </c>
      <c r="D20" s="100" t="inlineStr">
        <is>
          <t>양전하의 합과 음전하의 합이 같아지는 가장 간단한 정수비를 찾습니다. 전하의 크기가 같으면 1 : 1 입니다.</t>
        </is>
      </c>
    </row>
    <row r="21" ht="20" customHeight="1">
      <c r="B21" s="98" t="inlineStr">
        <is>
          <t>3</t>
        </is>
      </c>
      <c r="C21" s="99" t="inlineStr">
        <is>
          <t>아래첨자와 괄호</t>
        </is>
      </c>
      <c r="D21" s="100" t="inlineStr">
        <is>
          <t>이온 수를 아래첨자로 쓰고, 다원자 이온이 2개 이상이면 괄호로 묶습니다. 예) Ca(OH)₂</t>
        </is>
      </c>
    </row>
    <row r="23" ht="18" customHeight="1">
      <c r="B23" s="20" t="inlineStr">
        <is>
          <t>※ '전하 합'은 수식입니다. (양이온 전하 × 양이온 수) + (음이온 전하 × 음이온 수) = 0 이 되어야 합니다.</t>
        </is>
      </c>
    </row>
    <row r="24" ht="18" customHeight="1">
      <c r="B24" s="20" t="inlineStr">
        <is>
          <t>※ 초록 글자 = 개수비 1 : 1(전하 크기가 같아 아래첨자 없음), 주황 글자 = 개수비가 달라 아래첨자로 이온 수를 써야 하는 화합물.</t>
        </is>
      </c>
    </row>
    <row r="25" ht="18" customHeight="1">
      <c r="B25" s="20" t="inlineStr">
        <is>
          <t>※ 중학교에서는 황산 구리(Ⅱ)를 '황산 구리'로도 표기합니다. 학습 사이트는 두 이름을 모두 정답으로 인정합니다.</t>
        </is>
      </c>
    </row>
  </sheetData>
  <mergeCells count="9">
    <mergeCell ref="B24:M24"/>
    <mergeCell ref="B25:M25"/>
    <mergeCell ref="B23:M23"/>
    <mergeCell ref="D21:M21"/>
    <mergeCell ref="D20:M20"/>
    <mergeCell ref="B18:M18"/>
    <mergeCell ref="B3:N3"/>
    <mergeCell ref="B2:N2"/>
    <mergeCell ref="D19:M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2026-09-12T18:35:49Z</dcterms:created>
  <dcterms:modified xmlns:dcterms="http://purl.org/dc/terms/" xmlns:xsi="http://www.w3.org/2001/XMLSchema-instance" xsi:type="dcterms:W3CDTF">2026-09-12T18:35:49Z</dcterms:modified>
</cp:coreProperties>
</file>